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ksku\Dropbox\My PC (DESKTOP-39DRAKO)\Downloads\excel tutorials\"/>
    </mc:Choice>
  </mc:AlternateContent>
  <xr:revisionPtr revIDLastSave="0" documentId="13_ncr:1_{623F6981-ED23-4B7C-9ADF-58C0CE014AF6}" xr6:coauthVersionLast="47" xr6:coauthVersionMax="47" xr10:uidLastSave="{00000000-0000-0000-0000-000000000000}"/>
  <bookViews>
    <workbookView xWindow="-108" yWindow="-108" windowWidth="23256" windowHeight="12456" firstSheet="1" activeTab="1" xr2:uid="{00000000-000D-0000-FFFF-FFFF00000000}"/>
  </bookViews>
  <sheets>
    <sheet name="bike_buyers" sheetId="1" state="hidden"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<sst xmlns="http://schemas.openxmlformats.org/spreadsheetml/2006/main" count="16267" uniqueCount="52">
  <si>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</si>
  <si>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</si>
  <si>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</si>
  <si>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</si>
  <si>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</si>
  <si>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</si>
  <si>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</si>
  <si>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</si>
  <si>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</si>
  <si>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</si>
  <si>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</si>
  <si>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</si>
  <si>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</si>
  <si>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</si>
  <si>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</si>
  <si>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</si>
  <si>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</si>
  <si>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</si>
  <si>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</si>
  <si>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</si>
  <si>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</si>
  <si>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</si>
  <si>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</si>
  <si>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</si>
  <si>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</si>
  <si>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</si>
  <si>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</si>
  <si>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</si>
  <si>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</si>
  <si>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</si>
  <si>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</si>
  <si>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</si>
  <si>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</si>
  <si>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</si>
  <si>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</si>
  <si>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</si>
  <si>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</si>
  <si>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</si>
  <si>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</si>
  <si>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</si>
  <si>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Age_Bracket</t>
  </si>
  <si>
    <t>Income_USD</t>
  </si>
  <si>
    <t>Row Labels</t>
  </si>
  <si>
    <t>Grand Total</t>
  </si>
  <si>
    <t>Column Labels</t>
  </si>
  <si>
    <t>Average of Income_USD</t>
  </si>
  <si>
    <t>Count of Purchased Bike</t>
  </si>
  <si>
    <t>More than 10 Miles</t>
  </si>
  <si>
    <t>Middle Aged</t>
  </si>
  <si>
    <t>Old</t>
  </si>
  <si>
    <t>Young</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</si>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</sst>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 formatCode="0"/>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by</a:t>
            </a:r>
            <a:r>
              <a:rPr lang="en-IN" baseline="0"/>
              <a:t> Gender and Bike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D5EB-40F7-8205-A6D18EA5933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D5EB-40F7-8205-A6D18EA5933B}"/>
            </c:ext>
          </c:extLst>
        </c:ser>
        <c:dLbls>
          <c:showLegendKey val="0"/>
          <c:showVal val="0"/>
          <c:showCatName val="0"/>
          <c:showSerName val="0"/>
          <c:showPercent val="0"/>
          <c:showBubbleSize val="0"/>
        </c:dLbls>
        <c:gapWidth val="219"/>
        <c:overlap val="-27"/>
        <c:axId val="803221040"/>
        <c:axId val="1042983312"/>
      </c:barChart>
      <c:catAx>
        <c:axId val="803221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983312"/>
        <c:crosses val="autoZero"/>
        <c:auto val="1"/>
        <c:lblAlgn val="ctr"/>
        <c:lblOffset val="100"/>
        <c:noMultiLvlLbl val="0"/>
      </c:catAx>
      <c:valAx>
        <c:axId val="1042983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 (in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2210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28575" cap="rnd">
              <a:solidFill>
                <a:schemeClr val="accent1"/>
              </a:solidFill>
              <a:round/>
            </a:ln>
            <a:effectLst/>
          </c:spPr>
          <c:marker>
            <c:symbol val="none"/>
          </c:marker>
          <c:cat>
            <c:strRef>
              <c:f>'Pivot Table'!$A$28:$A$33</c:f>
              <c:strCache>
                <c:ptCount val="5"/>
                <c:pt idx="0">
                  <c:v>0-1 Miles</c:v>
                </c:pt>
                <c:pt idx="1">
                  <c:v>1-2 Miles</c:v>
                </c:pt>
                <c:pt idx="2">
                  <c:v>2-5 Miles</c:v>
                </c:pt>
                <c:pt idx="3">
                  <c:v>5-10 Miles</c:v>
                </c:pt>
                <c:pt idx="4">
                  <c:v>More than 10 Miles</c:v>
                </c:pt>
              </c:strCache>
            </c:strRef>
          </c:cat>
          <c:val>
            <c:numRef>
              <c:f>'Pivot Table'!$B$28:$B$33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557-4951-AD0C-9D9FE1CE5F77}"/>
            </c:ext>
          </c:extLst>
        </c:ser>
        <c:ser>
          <c:idx val="1"/>
          <c:order val="1"/>
          <c:tx>
            <c:strRef>
              <c:f>'Pivot Table'!$C$26:$C$27</c:f>
              <c:strCache>
                <c:ptCount val="1"/>
                <c:pt idx="0">
                  <c:v>Yes</c:v>
                </c:pt>
              </c:strCache>
            </c:strRef>
          </c:tx>
          <c:spPr>
            <a:ln w="28575" cap="rnd">
              <a:solidFill>
                <a:schemeClr val="accent2"/>
              </a:solidFill>
              <a:round/>
            </a:ln>
            <a:effectLst/>
          </c:spPr>
          <c:marker>
            <c:symbol val="none"/>
          </c:marker>
          <c:cat>
            <c:strRef>
              <c:f>'Pivot Table'!$A$28:$A$33</c:f>
              <c:strCache>
                <c:ptCount val="5"/>
                <c:pt idx="0">
                  <c:v>0-1 Miles</c:v>
                </c:pt>
                <c:pt idx="1">
                  <c:v>1-2 Miles</c:v>
                </c:pt>
                <c:pt idx="2">
                  <c:v>2-5 Miles</c:v>
                </c:pt>
                <c:pt idx="3">
                  <c:v>5-10 Miles</c:v>
                </c:pt>
                <c:pt idx="4">
                  <c:v>More than 10 Miles</c:v>
                </c:pt>
              </c:strCache>
            </c:strRef>
          </c:cat>
          <c:val>
            <c:numRef>
              <c:f>'Pivot Table'!$C$28:$C$33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557-4951-AD0C-9D9FE1CE5F77}"/>
            </c:ext>
          </c:extLst>
        </c:ser>
        <c:dLbls>
          <c:showLegendKey val="0"/>
          <c:showVal val="0"/>
          <c:showCatName val="0"/>
          <c:showSerName val="0"/>
          <c:showPercent val="0"/>
          <c:showBubbleSize val="0"/>
        </c:dLbls>
        <c:smooth val="0"/>
        <c:axId val="885721328"/>
        <c:axId val="885721808"/>
      </c:lineChart>
      <c:catAx>
        <c:axId val="885721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721808"/>
        <c:crosses val="autoZero"/>
        <c:auto val="1"/>
        <c:lblAlgn val="ctr"/>
        <c:lblOffset val="100"/>
        <c:noMultiLvlLbl val="0"/>
      </c:catAx>
      <c:valAx>
        <c:axId val="88572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72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Bikes Purchased by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Young</c:v>
                </c:pt>
                <c:pt idx="1">
                  <c:v>Middle Aged</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224-4068-A2E0-2E1167B0217A}"/>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Young</c:v>
                </c:pt>
                <c:pt idx="1">
                  <c:v>Middle Aged</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224-4068-A2E0-2E1167B0217A}"/>
            </c:ext>
          </c:extLst>
        </c:ser>
        <c:dLbls>
          <c:showLegendKey val="0"/>
          <c:showVal val="0"/>
          <c:showCatName val="0"/>
          <c:showSerName val="0"/>
          <c:showPercent val="0"/>
          <c:showBubbleSize val="0"/>
        </c:dLbls>
        <c:marker val="1"/>
        <c:smooth val="0"/>
        <c:axId val="1240373984"/>
        <c:axId val="1240371104"/>
      </c:lineChart>
      <c:catAx>
        <c:axId val="1240373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371104"/>
        <c:crosses val="autoZero"/>
        <c:auto val="1"/>
        <c:lblAlgn val="ctr"/>
        <c:lblOffset val="100"/>
        <c:noMultiLvlLbl val="0"/>
      </c:catAx>
      <c:valAx>
        <c:axId val="124037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37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by</a:t>
            </a:r>
            <a:r>
              <a:rPr lang="en-IN" baseline="0"/>
              <a:t> Gender and Bike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02D0-4584-81D0-2703426CE96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02D0-4584-81D0-2703426CE967}"/>
            </c:ext>
          </c:extLst>
        </c:ser>
        <c:dLbls>
          <c:showLegendKey val="0"/>
          <c:showVal val="0"/>
          <c:showCatName val="0"/>
          <c:showSerName val="0"/>
          <c:showPercent val="0"/>
          <c:showBubbleSize val="0"/>
        </c:dLbls>
        <c:gapWidth val="219"/>
        <c:overlap val="-27"/>
        <c:axId val="803221040"/>
        <c:axId val="1042983312"/>
      </c:barChart>
      <c:catAx>
        <c:axId val="803221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983312"/>
        <c:crosses val="autoZero"/>
        <c:auto val="1"/>
        <c:lblAlgn val="ctr"/>
        <c:lblOffset val="100"/>
        <c:noMultiLvlLbl val="0"/>
      </c:catAx>
      <c:valAx>
        <c:axId val="1042983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 (in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2210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28575" cap="rnd">
              <a:solidFill>
                <a:schemeClr val="accent1"/>
              </a:solidFill>
              <a:round/>
            </a:ln>
            <a:effectLst/>
          </c:spPr>
          <c:marker>
            <c:symbol val="none"/>
          </c:marker>
          <c:cat>
            <c:strRef>
              <c:f>'Pivot Table'!$A$28:$A$33</c:f>
              <c:strCache>
                <c:ptCount val="5"/>
                <c:pt idx="0">
                  <c:v>0-1 Miles</c:v>
                </c:pt>
                <c:pt idx="1">
                  <c:v>1-2 Miles</c:v>
                </c:pt>
                <c:pt idx="2">
                  <c:v>2-5 Miles</c:v>
                </c:pt>
                <c:pt idx="3">
                  <c:v>5-10 Miles</c:v>
                </c:pt>
                <c:pt idx="4">
                  <c:v>More than 10 Miles</c:v>
                </c:pt>
              </c:strCache>
            </c:strRef>
          </c:cat>
          <c:val>
            <c:numRef>
              <c:f>'Pivot Table'!$B$28:$B$33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3DB-44DA-AC2A-395E087772D7}"/>
            </c:ext>
          </c:extLst>
        </c:ser>
        <c:ser>
          <c:idx val="1"/>
          <c:order val="1"/>
          <c:tx>
            <c:strRef>
              <c:f>'Pivot Table'!$C$26:$C$27</c:f>
              <c:strCache>
                <c:ptCount val="1"/>
                <c:pt idx="0">
                  <c:v>Yes</c:v>
                </c:pt>
              </c:strCache>
            </c:strRef>
          </c:tx>
          <c:spPr>
            <a:ln w="28575" cap="rnd">
              <a:solidFill>
                <a:schemeClr val="accent2"/>
              </a:solidFill>
              <a:round/>
            </a:ln>
            <a:effectLst/>
          </c:spPr>
          <c:marker>
            <c:symbol val="none"/>
          </c:marker>
          <c:cat>
            <c:strRef>
              <c:f>'Pivot Table'!$A$28:$A$33</c:f>
              <c:strCache>
                <c:ptCount val="5"/>
                <c:pt idx="0">
                  <c:v>0-1 Miles</c:v>
                </c:pt>
                <c:pt idx="1">
                  <c:v>1-2 Miles</c:v>
                </c:pt>
                <c:pt idx="2">
                  <c:v>2-5 Miles</c:v>
                </c:pt>
                <c:pt idx="3">
                  <c:v>5-10 Miles</c:v>
                </c:pt>
                <c:pt idx="4">
                  <c:v>More than 10 Miles</c:v>
                </c:pt>
              </c:strCache>
            </c:strRef>
          </c:cat>
          <c:val>
            <c:numRef>
              <c:f>'Pivot Table'!$C$28:$C$33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3DB-44DA-AC2A-395E087772D7}"/>
            </c:ext>
          </c:extLst>
        </c:ser>
        <c:dLbls>
          <c:showLegendKey val="0"/>
          <c:showVal val="0"/>
          <c:showCatName val="0"/>
          <c:showSerName val="0"/>
          <c:showPercent val="0"/>
          <c:showBubbleSize val="0"/>
        </c:dLbls>
        <c:smooth val="0"/>
        <c:axId val="885721328"/>
        <c:axId val="885721808"/>
      </c:lineChart>
      <c:catAx>
        <c:axId val="885721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721808"/>
        <c:crosses val="autoZero"/>
        <c:auto val="1"/>
        <c:lblAlgn val="ctr"/>
        <c:lblOffset val="100"/>
        <c:noMultiLvlLbl val="0"/>
      </c:catAx>
      <c:valAx>
        <c:axId val="88572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72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Bikes Purchased by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Young</c:v>
                </c:pt>
                <c:pt idx="1">
                  <c:v>Middle Aged</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16E-41A1-B1F6-F5BB45D421AC}"/>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Young</c:v>
                </c:pt>
                <c:pt idx="1">
                  <c:v>Middle Aged</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16E-41A1-B1F6-F5BB45D421AC}"/>
            </c:ext>
          </c:extLst>
        </c:ser>
        <c:dLbls>
          <c:showLegendKey val="0"/>
          <c:showVal val="0"/>
          <c:showCatName val="0"/>
          <c:showSerName val="0"/>
          <c:showPercent val="0"/>
          <c:showBubbleSize val="0"/>
        </c:dLbls>
        <c:marker val="1"/>
        <c:smooth val="0"/>
        <c:axId val="1240373984"/>
        <c:axId val="1240371104"/>
      </c:lineChart>
      <c:catAx>
        <c:axId val="1240373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371104"/>
        <c:crosses val="autoZero"/>
        <c:auto val="1"/>
        <c:lblAlgn val="ctr"/>
        <c:lblOffset val="100"/>
        <c:noMultiLvlLbl val="0"/>
      </c:catAx>
      <c:valAx>
        <c:axId val="124037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37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522405</xdr:colOff>
      <xdr:row>6</xdr:row>
      <xdr:rowOff>41242</xdr:rowOff>
    </xdr:from>
    <xdr:to>
      <xdr:col>9</xdr:col>
      <xdr:colOff>219781</xdr:colOff>
      <xdr:row>19</xdr:row>
      <xdr:rowOff>160984</xdr:rowOff>
    </xdr:to>
    <xdr:graphicFrame macro="">
      <xdr:nvGraphicFramePr>
        <xdr:cNvPr id="2" name="Chart 1">
          <a:extLst>
            <a:ext uri="{FF2B5EF4-FFF2-40B4-BE49-F238E27FC236}">
              <a16:creationId xmlns:a16="http://schemas.microsoft.com/office/drawing/2014/main" id="{6F0A5DE0-6E26-4D2E-914C-1D00A5BF8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522716</xdr:colOff>
      <xdr:row>20</xdr:row>
      <xdr:rowOff>20783</xdr:rowOff>
    </xdr:from>
    <xdr:to>
      <xdr:col>15</xdr:col>
      <xdr:colOff>202</xdr:colOff>
      <xdr:row>35</xdr:row>
      <xdr:rowOff>20783</xdr:rowOff>
    </xdr:to>
    <xdr:graphicFrame macro="">
      <xdr:nvGraphicFramePr>
        <xdr:cNvPr id="3" name="Chart 2">
          <a:extLst>
            <a:ext uri="{FF2B5EF4-FFF2-40B4-BE49-F238E27FC236}">
              <a16:creationId xmlns:a16="http://schemas.microsoft.com/office/drawing/2014/main" id="{FC944330-BF8E-426E-A2A6-B413E7042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261257</xdr:colOff>
      <xdr:row>6</xdr:row>
      <xdr:rowOff>40681</xdr:rowOff>
    </xdr:from>
    <xdr:to>
      <xdr:col>15</xdr:col>
      <xdr:colOff>0</xdr:colOff>
      <xdr:row>19</xdr:row>
      <xdr:rowOff>156986</xdr:rowOff>
    </xdr:to>
    <xdr:graphicFrame macro="">
      <xdr:nvGraphicFramePr>
        <xdr:cNvPr id="4" name="Chart 3">
          <a:extLst>
            <a:ext uri="{FF2B5EF4-FFF2-40B4-BE49-F238E27FC236}">
              <a16:creationId xmlns:a16="http://schemas.microsoft.com/office/drawing/2014/main" id="{0E4152EA-2673-4D0D-89DA-5E043A72C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43543</xdr:colOff>
      <xdr:row>6</xdr:row>
      <xdr:rowOff>43542</xdr:rowOff>
    </xdr:from>
    <xdr:to>
      <xdr:col>2</xdr:col>
      <xdr:colOff>489857</xdr:colOff>
      <xdr:row>11</xdr:row>
      <xdr:rowOff>10885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670609DF-B0EC-A9DB-244A-0A920DE1692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3543" y="1153885"/>
              <a:ext cx="1665514" cy="892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43543</xdr:colOff>
      <xdr:row>17</xdr:row>
      <xdr:rowOff>169817</xdr:rowOff>
    </xdr:from>
    <xdr:to>
      <xdr:col>2</xdr:col>
      <xdr:colOff>488551</xdr:colOff>
      <xdr:row>27</xdr:row>
      <xdr:rowOff>43542</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6438A175-9478-CCCB-7445-48088D7DB33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3543" y="3315788"/>
              <a:ext cx="1664208" cy="17242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43543</xdr:colOff>
      <xdr:row>11</xdr:row>
      <xdr:rowOff>51162</xdr:rowOff>
    </xdr:from>
    <xdr:to>
      <xdr:col>2</xdr:col>
      <xdr:colOff>488551</xdr:colOff>
      <xdr:row>17</xdr:row>
      <xdr:rowOff>130629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4439017-9A7F-A799-A692-F2BEACFC53A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3543" y="2086791"/>
              <a:ext cx="1664208" cy="11898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121920</xdr:colOff>
      <xdr:row>1</xdr:row>
      <xdr:rowOff>179070</xdr:rowOff>
    </xdr:from>
    <xdr:to>
      <xdr:col>15</xdr:col>
      <xdr:colOff>236220</xdr:colOff>
      <xdr:row>16</xdr:row>
      <xdr:rowOff>179070</xdr:rowOff>
    </xdr:to>
    <xdr:graphicFrame macro="">
      <xdr:nvGraphicFramePr>
        <xdr:cNvPr id="2" name="Chart 1">
          <a:extLst>
            <a:ext uri="{FF2B5EF4-FFF2-40B4-BE49-F238E27FC236}">
              <a16:creationId xmlns:a16="http://schemas.microsoft.com/office/drawing/2014/main" id="{2CFC2A56-2197-4D1C-02E6-300BCABD1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228600</xdr:colOff>
      <xdr:row>18</xdr:row>
      <xdr:rowOff>140970</xdr:rowOff>
    </xdr:from>
    <xdr:to>
      <xdr:col>17</xdr:col>
      <xdr:colOff>205740</xdr:colOff>
      <xdr:row>33</xdr:row>
      <xdr:rowOff>140970</xdr:rowOff>
    </xdr:to>
    <xdr:graphicFrame macro="">
      <xdr:nvGraphicFramePr>
        <xdr:cNvPr id="3" name="Chart 2">
          <a:extLst>
            <a:ext uri="{FF2B5EF4-FFF2-40B4-BE49-F238E27FC236}">
              <a16:creationId xmlns:a16="http://schemas.microsoft.com/office/drawing/2014/main" id="{F1020F76-47F9-0FFF-2176-61E5DD2502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37</xdr:row>
      <xdr:rowOff>34290</xdr:rowOff>
    </xdr:from>
    <xdr:to>
      <xdr:col>16</xdr:col>
      <xdr:colOff>45720</xdr:colOff>
      <xdr:row>52</xdr:row>
      <xdr:rowOff>34290</xdr:rowOff>
    </xdr:to>
    <xdr:graphicFrame macro="">
      <xdr:nvGraphicFramePr>
        <xdr:cNvPr id="4" name="Chart 3">
          <a:extLst>
            <a:ext uri="{FF2B5EF4-FFF2-40B4-BE49-F238E27FC236}">
              <a16:creationId xmlns:a16="http://schemas.microsoft.com/office/drawing/2014/main" id="{91EB7537-8233-32BE-EE16-25F7603A1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 K Singh" refreshedDate="46069.704239120372" createdVersion="8" refreshedVersion="8" minRefreshableVersion="3" recordCount="1000" xr:uid="{D4AC28DB-F155-4101-9804-1760DB15D965}">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_USD"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_Bracket" numFmtId="0">
      <sharedItems count="3">
        <s v="Middle Aged"/>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92699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AC0ECB-DFAA-4CBE-8FEF-F0357DCAB7A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8:D43"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1A55DF-179E-47FB-88DF-5D8EEC8BFAD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6:D33"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1F4B99-94FF-482B-8F05-07DCAFBED6C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_USD" fld="3" subtotal="average" baseField="13" baseItem="0" numFmtId="165"/>
  </dataFields>
  <formats count="1">
    <format dxfId="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BB58E0C-E164-456B-865A-01956F79E3BA}" sourceName="Marital Status">
  <pivotTables>
    <pivotTable tabId="3" name="PivotTable1"/>
    <pivotTable tabId="3" name="PivotTable2"/>
    <pivotTable tabId="3" name="PivotTable3"/>
  </pivotTables>
  <data>
    <tabular pivotCacheId="1926990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99D9806-3BC8-45B8-9EBF-F11E765ADB16}" sourceName="Education">
  <pivotTables>
    <pivotTable tabId="3" name="PivotTable1"/>
    <pivotTable tabId="3" name="PivotTable2"/>
    <pivotTable tabId="3" name="PivotTable3"/>
  </pivotTables>
  <data>
    <tabular pivotCacheId="1926990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8C01B6F-8E4A-4993-A0E8-04368AA63979}" sourceName="Region">
  <pivotTables>
    <pivotTable tabId="3" name="PivotTable1"/>
    <pivotTable tabId="3" name="PivotTable2"/>
    <pivotTable tabId="3" name="PivotTable3"/>
  </pivotTables>
  <data>
    <tabular pivotCacheId="1926990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4956F6A-24F4-416C-9D7E-850296A42D1E}" cache="Slicer_Marital_Status" caption="Marital Status" rowHeight="234950"/>
  <slicer name="Education" xr10:uid="{8DFCC2AD-AF3D-4E1F-AFEF-6A62D83F93FC}" cache="Slicer_Education" caption="Education" rowHeight="234950"/>
  <slicer name="Region" xr10:uid="{53106565-E36D-4A09-A369-B352D6333E57}"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A6A736-1C17-49CD-A7F3-9A306F256109}" name="Table1" displayName="Table1" ref="A1:N1001" totalsRowShown="0">
  <autoFilter ref="A1:N1001" xr:uid="{D27F56C5-4357-40B0-9247-51BC87795B9C}"/>
  <tableColumns count="14">
    <tableColumn id="1" xr3:uid="{AE9CFFAE-1888-437A-8241-FDFD615C91B4}" name="ID"/>
    <tableColumn id="2" xr3:uid="{636A6FE1-D13C-4302-ACFA-0CADE9C1F47C}" name="Marital Status"/>
    <tableColumn id="3" xr3:uid="{01845116-DE6C-4B41-9726-910DB592F130}" name="Gender"/>
    <tableColumn id="4" xr3:uid="{F0AF6D57-FB59-4402-A422-3443B12ECAA0}" name="Income_USD" dataDxfId="0"/>
    <tableColumn id="5" xr3:uid="{6AECDA96-A2D6-44C7-93F1-84B493D45233}" name="Children"/>
    <tableColumn id="6" xr3:uid="{E787F2D7-D64C-4335-86D0-3C6FF9AAAD05}" name="Education"/>
    <tableColumn id="7" xr3:uid="{692A6F2A-DC96-4F61-A33F-6553CA8F9EA1}" name="Occupation"/>
    <tableColumn id="8" xr3:uid="{58D39797-1399-462B-9B2A-1832AE2D7603}" name="Home Owner"/>
    <tableColumn id="9" xr3:uid="{BC8D1666-2D16-465E-A641-14BA32E72BBC}" name="Cars"/>
    <tableColumn id="10" xr3:uid="{025A9AE9-EDE0-44B9-A765-62AE1091D9CC}" name="Commute Distance"/>
    <tableColumn id="11" xr3:uid="{75861B2E-7961-4A68-9B36-B90BF88948DE}" name="Region"/>
    <tableColumn id="12" xr3:uid="{3EB4EE19-E164-4EB4-BC9C-98233821A414}" name="Age"/>
    <tableColumn id="13" xr3:uid="{36B50B30-AD3D-44BF-9FA7-C60155323EDD}" name="Age_Bracket">
      <calculatedColumnFormula>IF(L2 &gt; 54,"Old",IF(L2 &gt;= 31,"Middle Aged",IF(L2 &lt; 31,"Young")))</calculatedColumnFormula>
    </tableColumn>
    <tableColumn id="14" xr3:uid="{2844C1C3-F918-4C80-A5A0-49133FA649D6}"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8B154-60AF-42E0-B596-F5A1D0AA47C9}">
  <dimension ref="A1:O6"/>
  <sheetViews>
    <sheetView showGridLines="0" tabSelected="1" zoomScale="70" zoomScaleNormal="70" workbookViewId="0">
      <selection activeCell="X25" sqref="X25"/>
    </sheetView>
  </sheetViews>
  <sheetFormatPr defaultRowHeight="14.4" x14ac:dyDescent="0.3"/>
  <sheetData>
    <row r="1" spans="1:15" ht="14.4" customHeight="1" x14ac:dyDescent="0.3">
      <c r="A1" s="7" t="s">
        <v>51</v>
      </c>
      <c r="B1" s="7"/>
      <c r="C1" s="7"/>
      <c r="D1" s="7"/>
      <c r="E1" s="7"/>
      <c r="F1" s="7"/>
      <c r="G1" s="7"/>
      <c r="H1" s="7"/>
      <c r="I1" s="7"/>
      <c r="J1" s="7"/>
      <c r="K1" s="7"/>
      <c r="L1" s="7"/>
      <c r="M1" s="7"/>
      <c r="N1" s="7"/>
      <c r="O1" s="7"/>
    </row>
    <row r="2" spans="1:15" ht="14.4" customHeight="1" x14ac:dyDescent="0.3">
      <c r="A2" s="7"/>
      <c r="B2" s="7"/>
      <c r="C2" s="7"/>
      <c r="D2" s="7"/>
      <c r="E2" s="7"/>
      <c r="F2" s="7"/>
      <c r="G2" s="7"/>
      <c r="H2" s="7"/>
      <c r="I2" s="7"/>
      <c r="J2" s="7"/>
      <c r="K2" s="7"/>
      <c r="L2" s="7"/>
      <c r="M2" s="7"/>
      <c r="N2" s="7"/>
      <c r="O2" s="7"/>
    </row>
    <row r="3" spans="1:15" ht="14.4" customHeight="1" x14ac:dyDescent="0.3">
      <c r="A3" s="7"/>
      <c r="B3" s="7"/>
      <c r="C3" s="7"/>
      <c r="D3" s="7"/>
      <c r="E3" s="7"/>
      <c r="F3" s="7"/>
      <c r="G3" s="7"/>
      <c r="H3" s="7"/>
      <c r="I3" s="7"/>
      <c r="J3" s="7"/>
      <c r="K3" s="7"/>
      <c r="L3" s="7"/>
      <c r="M3" s="7"/>
      <c r="N3" s="7"/>
      <c r="O3" s="7"/>
    </row>
    <row r="4" spans="1:15" ht="14.4" customHeight="1" x14ac:dyDescent="0.3">
      <c r="A4" s="7"/>
      <c r="B4" s="7"/>
      <c r="C4" s="7"/>
      <c r="D4" s="7"/>
      <c r="E4" s="7"/>
      <c r="F4" s="7"/>
      <c r="G4" s="7"/>
      <c r="H4" s="7"/>
      <c r="I4" s="7"/>
      <c r="J4" s="7"/>
      <c r="K4" s="7"/>
      <c r="L4" s="7"/>
      <c r="M4" s="7"/>
      <c r="N4" s="7"/>
      <c r="O4" s="7"/>
    </row>
    <row r="5" spans="1:15" ht="14.4" customHeight="1" x14ac:dyDescent="0.3">
      <c r="A5" s="7"/>
      <c r="B5" s="7"/>
      <c r="C5" s="7"/>
      <c r="D5" s="7"/>
      <c r="E5" s="7"/>
      <c r="F5" s="7"/>
      <c r="G5" s="7"/>
      <c r="H5" s="7"/>
      <c r="I5" s="7"/>
      <c r="J5" s="7"/>
      <c r="K5" s="7"/>
      <c r="L5" s="7"/>
      <c r="M5" s="7"/>
      <c r="N5" s="7"/>
      <c r="O5" s="7"/>
    </row>
    <row r="6" spans="1:15" ht="14.4" customHeight="1" x14ac:dyDescent="0.3">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1F6B8-4C8F-4237-85DB-03D8A3A0DACF}">
  <dimension ref="A3:D43"/>
  <sheetViews>
    <sheetView topLeftCell="A22" workbookViewId="0">
      <selection activeCell="A40" sqref="A40"/>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10" width="6" bestFit="1" customWidth="1"/>
    <col min="11" max="17" width="7" bestFit="1" customWidth="1"/>
    <col min="18" max="18" width="10.77734375" bestFit="1" customWidth="1"/>
  </cols>
  <sheetData>
    <row r="3" spans="1:4" x14ac:dyDescent="0.3">
      <c r="A3" s="4" t="s">
        <v>45</v>
      </c>
      <c r="B3" s="4" t="s">
        <v>44</v>
      </c>
    </row>
    <row r="4" spans="1:4" x14ac:dyDescent="0.3">
      <c r="A4" s="4" t="s">
        <v>42</v>
      </c>
      <c r="B4" t="s">
        <v>18</v>
      </c>
      <c r="C4" t="s">
        <v>15</v>
      </c>
      <c r="D4" t="s">
        <v>43</v>
      </c>
    </row>
    <row r="5" spans="1:4" x14ac:dyDescent="0.3">
      <c r="A5" s="5" t="s">
        <v>39</v>
      </c>
      <c r="B5" s="6">
        <v>53440</v>
      </c>
      <c r="C5" s="6">
        <v>55774.058577405856</v>
      </c>
      <c r="D5" s="6">
        <v>54580.777096114522</v>
      </c>
    </row>
    <row r="6" spans="1:4" x14ac:dyDescent="0.3">
      <c r="A6" s="5" t="s">
        <v>38</v>
      </c>
      <c r="B6" s="6">
        <v>56208.178438661707</v>
      </c>
      <c r="C6" s="6">
        <v>60123.966942148763</v>
      </c>
      <c r="D6" s="6">
        <v>58062.62230919765</v>
      </c>
    </row>
    <row r="7" spans="1:4" x14ac:dyDescent="0.3">
      <c r="A7" s="5" t="s">
        <v>43</v>
      </c>
      <c r="B7" s="6">
        <v>54874.759152215796</v>
      </c>
      <c r="C7" s="6">
        <v>57962.577962577961</v>
      </c>
      <c r="D7" s="6">
        <v>56360</v>
      </c>
    </row>
    <row r="26" spans="1:4" x14ac:dyDescent="0.3">
      <c r="A26" s="4" t="s">
        <v>46</v>
      </c>
      <c r="B26" s="4" t="s">
        <v>44</v>
      </c>
    </row>
    <row r="27" spans="1:4" x14ac:dyDescent="0.3">
      <c r="A27" s="4" t="s">
        <v>42</v>
      </c>
      <c r="B27" t="s">
        <v>18</v>
      </c>
      <c r="C27" t="s">
        <v>15</v>
      </c>
      <c r="D27" t="s">
        <v>43</v>
      </c>
    </row>
    <row r="28" spans="1:4" x14ac:dyDescent="0.3">
      <c r="A28" s="5" t="s">
        <v>16</v>
      </c>
      <c r="B28">
        <v>166</v>
      </c>
      <c r="C28">
        <v>200</v>
      </c>
      <c r="D28">
        <v>366</v>
      </c>
    </row>
    <row r="29" spans="1:4" x14ac:dyDescent="0.3">
      <c r="A29" s="5" t="s">
        <v>26</v>
      </c>
      <c r="B29">
        <v>92</v>
      </c>
      <c r="C29">
        <v>77</v>
      </c>
      <c r="D29">
        <v>169</v>
      </c>
    </row>
    <row r="30" spans="1:4" x14ac:dyDescent="0.3">
      <c r="A30" s="5" t="s">
        <v>22</v>
      </c>
      <c r="B30">
        <v>67</v>
      </c>
      <c r="C30">
        <v>95</v>
      </c>
      <c r="D30">
        <v>162</v>
      </c>
    </row>
    <row r="31" spans="1:4" x14ac:dyDescent="0.3">
      <c r="A31" s="5" t="s">
        <v>23</v>
      </c>
      <c r="B31">
        <v>116</v>
      </c>
      <c r="C31">
        <v>76</v>
      </c>
      <c r="D31">
        <v>192</v>
      </c>
    </row>
    <row r="32" spans="1:4" x14ac:dyDescent="0.3">
      <c r="A32" s="5" t="s">
        <v>47</v>
      </c>
      <c r="B32">
        <v>78</v>
      </c>
      <c r="C32">
        <v>33</v>
      </c>
      <c r="D32">
        <v>111</v>
      </c>
    </row>
    <row r="33" spans="1:4" x14ac:dyDescent="0.3">
      <c r="A33" s="5" t="s">
        <v>43</v>
      </c>
      <c r="B33">
        <v>519</v>
      </c>
      <c r="C33">
        <v>481</v>
      </c>
      <c r="D33">
        <v>1000</v>
      </c>
    </row>
    <row r="38" spans="1:4" x14ac:dyDescent="0.3">
      <c r="A38" s="4" t="s">
        <v>46</v>
      </c>
      <c r="B38" s="4" t="s">
        <v>44</v>
      </c>
    </row>
    <row r="39" spans="1:4" x14ac:dyDescent="0.3">
      <c r="A39" s="4" t="s">
        <v>42</v>
      </c>
      <c r="B39" t="s">
        <v>18</v>
      </c>
      <c r="C39" t="s">
        <v>15</v>
      </c>
      <c r="D39" t="s">
        <v>43</v>
      </c>
    </row>
    <row r="40" spans="1:4" x14ac:dyDescent="0.3">
      <c r="A40" s="5" t="s">
        <v>50</v>
      </c>
      <c r="B40">
        <v>71</v>
      </c>
      <c r="C40">
        <v>39</v>
      </c>
      <c r="D40">
        <v>110</v>
      </c>
    </row>
    <row r="41" spans="1:4" x14ac:dyDescent="0.3">
      <c r="A41" s="5" t="s">
        <v>48</v>
      </c>
      <c r="B41">
        <v>318</v>
      </c>
      <c r="C41">
        <v>383</v>
      </c>
      <c r="D41">
        <v>701</v>
      </c>
    </row>
    <row r="42" spans="1:4" x14ac:dyDescent="0.3">
      <c r="A42" s="5" t="s">
        <v>49</v>
      </c>
      <c r="B42">
        <v>130</v>
      </c>
      <c r="C42">
        <v>59</v>
      </c>
      <c r="D42">
        <v>189</v>
      </c>
    </row>
    <row r="43" spans="1:4" x14ac:dyDescent="0.3">
      <c r="A43" s="5" t="s">
        <v>43</v>
      </c>
      <c r="B43">
        <v>519</v>
      </c>
      <c r="C43">
        <v>481</v>
      </c>
      <c r="D43">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F56C5-4357-40B0-9247-51BC87795B9C}">
  <dimension ref="A1:N1001"/>
  <sheetViews>
    <sheetView workbookViewId="0">
      <selection activeCell="M2" sqref="M2"/>
    </sheetView>
  </sheetViews>
  <sheetFormatPr defaultColWidth="11.88671875" defaultRowHeight="14.4" x14ac:dyDescent="0.3"/>
  <cols>
    <col min="1" max="1" width="6" bestFit="1" customWidth="1"/>
    <col min="2" max="2" width="14.5546875" customWidth="1"/>
    <col min="3" max="3" width="9" customWidth="1"/>
    <col min="4" max="4" width="13.77734375" style="3" customWidth="1"/>
    <col min="5" max="5" width="9.88671875" customWidth="1"/>
    <col min="6" max="6" width="16.21875" bestFit="1" customWidth="1"/>
    <col min="7" max="7" width="12.6640625" bestFit="1" customWidth="1"/>
    <col min="8" max="8" width="13.88671875" customWidth="1"/>
    <col min="9" max="9" width="6.44140625" customWidth="1"/>
    <col min="10" max="10" width="18.77734375" customWidth="1"/>
    <col min="11" max="11" width="12.88671875" bestFit="1" customWidth="1"/>
    <col min="12" max="12" width="7.33203125" customWidth="1"/>
    <col min="13" max="13" width="18.21875" customWidth="1"/>
    <col min="14" max="14" width="15.6640625" customWidth="1"/>
  </cols>
  <sheetData>
    <row r="1" spans="1:14" x14ac:dyDescent="0.3">
      <c r="A1" t="s">
        <v>0</v>
      </c>
      <c r="B1" t="s">
        <v>1</v>
      </c>
      <c r="C1" t="s">
        <v>2</v>
      </c>
      <c r="D1" s="3" t="s">
        <v>41</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 &gt; 54,"Old 55 &amp; Above",IF(L2 &gt;= 31,"Middle Aged",IF(L2 &lt; 31,"Young 30 &amp; Below")))</f>
        <v>Middle Aged</v>
      </c>
      <c r="N2" t="s">
        <v>18</v>
      </c>
    </row>
    <row r="3" spans="1:14" x14ac:dyDescent="0.3">
      <c r="A3">
        <v>24107</v>
      </c>
      <c r="B3" t="s">
        <v>36</v>
      </c>
      <c r="C3" t="s">
        <v>38</v>
      </c>
      <c r="D3" s="3">
        <v>30000</v>
      </c>
      <c r="E3">
        <v>3</v>
      </c>
      <c r="F3" t="s">
        <v>19</v>
      </c>
      <c r="G3" t="s">
        <v>20</v>
      </c>
      <c r="H3" t="s">
        <v>15</v>
      </c>
      <c r="I3">
        <v>1</v>
      </c>
      <c r="J3" t="s">
        <v>16</v>
      </c>
      <c r="K3" t="s">
        <v>17</v>
      </c>
      <c r="L3">
        <v>43</v>
      </c>
      <c r="M3" t="str">
        <f t="shared" ref="M3:M66" si="0">IF(L3 &gt; 54,"Old",IF(L3 &gt;= 31,"Middle Aged",IF(L3 &lt; 31,"Young")))</f>
        <v>Middle Aged</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Aged</v>
      </c>
      <c r="N5" t="s">
        <v>15</v>
      </c>
    </row>
    <row r="6" spans="1:14" x14ac:dyDescent="0.3">
      <c r="A6">
        <v>25597</v>
      </c>
      <c r="B6" t="s">
        <v>37</v>
      </c>
      <c r="C6" t="s">
        <v>38</v>
      </c>
      <c r="D6" s="3">
        <v>30000</v>
      </c>
      <c r="E6">
        <v>0</v>
      </c>
      <c r="F6" t="s">
        <v>13</v>
      </c>
      <c r="G6" t="s">
        <v>20</v>
      </c>
      <c r="H6" t="s">
        <v>18</v>
      </c>
      <c r="I6">
        <v>0</v>
      </c>
      <c r="J6" t="s">
        <v>16</v>
      </c>
      <c r="K6" t="s">
        <v>17</v>
      </c>
      <c r="L6">
        <v>36</v>
      </c>
      <c r="M6" t="str">
        <f t="shared" si="0"/>
        <v>Middle Aged</v>
      </c>
      <c r="N6" t="s">
        <v>15</v>
      </c>
    </row>
    <row r="7" spans="1:14" x14ac:dyDescent="0.3">
      <c r="A7">
        <v>13507</v>
      </c>
      <c r="B7" t="s">
        <v>36</v>
      </c>
      <c r="C7" t="s">
        <v>39</v>
      </c>
      <c r="D7" s="3">
        <v>10000</v>
      </c>
      <c r="E7">
        <v>2</v>
      </c>
      <c r="F7" t="s">
        <v>19</v>
      </c>
      <c r="G7" t="s">
        <v>25</v>
      </c>
      <c r="H7" t="s">
        <v>15</v>
      </c>
      <c r="I7">
        <v>0</v>
      </c>
      <c r="J7" t="s">
        <v>26</v>
      </c>
      <c r="K7" t="s">
        <v>17</v>
      </c>
      <c r="L7">
        <v>50</v>
      </c>
      <c r="M7" t="str">
        <f t="shared" si="0"/>
        <v>Middle Aged</v>
      </c>
      <c r="N7" t="s">
        <v>18</v>
      </c>
    </row>
    <row r="8" spans="1:14" x14ac:dyDescent="0.3">
      <c r="A8">
        <v>27974</v>
      </c>
      <c r="B8" t="s">
        <v>37</v>
      </c>
      <c r="C8" t="s">
        <v>38</v>
      </c>
      <c r="D8" s="3">
        <v>160000</v>
      </c>
      <c r="E8">
        <v>2</v>
      </c>
      <c r="F8" t="s">
        <v>27</v>
      </c>
      <c r="G8" t="s">
        <v>28</v>
      </c>
      <c r="H8" t="s">
        <v>15</v>
      </c>
      <c r="I8">
        <v>4</v>
      </c>
      <c r="J8" t="s">
        <v>16</v>
      </c>
      <c r="K8" t="s">
        <v>24</v>
      </c>
      <c r="L8">
        <v>33</v>
      </c>
      <c r="M8" t="str">
        <f t="shared" si="0"/>
        <v>Middle Aged</v>
      </c>
      <c r="N8" t="s">
        <v>15</v>
      </c>
    </row>
    <row r="9" spans="1:14" x14ac:dyDescent="0.3">
      <c r="A9">
        <v>19364</v>
      </c>
      <c r="B9" t="s">
        <v>36</v>
      </c>
      <c r="C9" t="s">
        <v>38</v>
      </c>
      <c r="D9" s="3">
        <v>40000</v>
      </c>
      <c r="E9">
        <v>1</v>
      </c>
      <c r="F9" t="s">
        <v>13</v>
      </c>
      <c r="G9" t="s">
        <v>14</v>
      </c>
      <c r="H9" t="s">
        <v>15</v>
      </c>
      <c r="I9">
        <v>0</v>
      </c>
      <c r="J9" t="s">
        <v>16</v>
      </c>
      <c r="K9" t="s">
        <v>17</v>
      </c>
      <c r="L9">
        <v>43</v>
      </c>
      <c r="M9" t="str">
        <f t="shared" si="0"/>
        <v>Middle Aged</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Aged</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Aged</v>
      </c>
      <c r="N12" t="s">
        <v>15</v>
      </c>
    </row>
    <row r="13" spans="1:14" x14ac:dyDescent="0.3">
      <c r="A13">
        <v>12697</v>
      </c>
      <c r="B13" t="s">
        <v>37</v>
      </c>
      <c r="C13" t="s">
        <v>39</v>
      </c>
      <c r="D13" s="3">
        <v>90000</v>
      </c>
      <c r="E13">
        <v>0</v>
      </c>
      <c r="F13" t="s">
        <v>13</v>
      </c>
      <c r="G13" t="s">
        <v>21</v>
      </c>
      <c r="H13" t="s">
        <v>18</v>
      </c>
      <c r="I13">
        <v>4</v>
      </c>
      <c r="J13" t="s">
        <v>47</v>
      </c>
      <c r="K13" t="s">
        <v>24</v>
      </c>
      <c r="L13">
        <v>36</v>
      </c>
      <c r="M13" t="str">
        <f t="shared" si="0"/>
        <v>Middle Aged</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Aged</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Aged</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Aged</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Aged</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Aged</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Aged</v>
      </c>
      <c r="N22" t="s">
        <v>15</v>
      </c>
    </row>
    <row r="23" spans="1:14" x14ac:dyDescent="0.3">
      <c r="A23">
        <v>21564</v>
      </c>
      <c r="B23" t="s">
        <v>37</v>
      </c>
      <c r="C23" t="s">
        <v>39</v>
      </c>
      <c r="D23" s="3">
        <v>80000</v>
      </c>
      <c r="E23">
        <v>0</v>
      </c>
      <c r="F23" t="s">
        <v>13</v>
      </c>
      <c r="G23" t="s">
        <v>21</v>
      </c>
      <c r="H23" t="s">
        <v>15</v>
      </c>
      <c r="I23">
        <v>4</v>
      </c>
      <c r="J23" t="s">
        <v>47</v>
      </c>
      <c r="K23" t="s">
        <v>24</v>
      </c>
      <c r="L23">
        <v>35</v>
      </c>
      <c r="M23" t="str">
        <f t="shared" si="0"/>
        <v>Middle Aged</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Aged</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Aged</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Young</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Aged</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Aged</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Aged</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Young</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Aged</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Aged</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Aged</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Aged</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Young</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Young</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Aged</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Aged</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Aged</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Aged</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Aged</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Aged</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Aged</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Aged</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Aged</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Young</v>
      </c>
      <c r="N52" t="s">
        <v>18</v>
      </c>
    </row>
    <row r="53" spans="1:14" x14ac:dyDescent="0.3">
      <c r="A53">
        <v>20619</v>
      </c>
      <c r="B53" t="s">
        <v>37</v>
      </c>
      <c r="C53" t="s">
        <v>38</v>
      </c>
      <c r="D53" s="3">
        <v>80000</v>
      </c>
      <c r="E53">
        <v>0</v>
      </c>
      <c r="F53" t="s">
        <v>13</v>
      </c>
      <c r="G53" t="s">
        <v>21</v>
      </c>
      <c r="H53" t="s">
        <v>18</v>
      </c>
      <c r="I53">
        <v>4</v>
      </c>
      <c r="J53" t="s">
        <v>47</v>
      </c>
      <c r="K53" t="s">
        <v>24</v>
      </c>
      <c r="L53">
        <v>35</v>
      </c>
      <c r="M53" t="str">
        <f t="shared" si="0"/>
        <v>Middle Aged</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Aged</v>
      </c>
      <c r="N56" t="s">
        <v>18</v>
      </c>
    </row>
    <row r="57" spans="1:14" x14ac:dyDescent="0.3">
      <c r="A57">
        <v>28906</v>
      </c>
      <c r="B57" t="s">
        <v>36</v>
      </c>
      <c r="C57" t="s">
        <v>38</v>
      </c>
      <c r="D57" s="3">
        <v>80000</v>
      </c>
      <c r="E57">
        <v>4</v>
      </c>
      <c r="F57" t="s">
        <v>27</v>
      </c>
      <c r="G57" t="s">
        <v>21</v>
      </c>
      <c r="H57" t="s">
        <v>15</v>
      </c>
      <c r="I57">
        <v>2</v>
      </c>
      <c r="J57" t="s">
        <v>47</v>
      </c>
      <c r="K57" t="s">
        <v>17</v>
      </c>
      <c r="L57">
        <v>54</v>
      </c>
      <c r="M57" t="str">
        <f t="shared" si="0"/>
        <v>Middle Aged</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Aged</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Aged</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Aged</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Aged</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Aged</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Aged</v>
      </c>
      <c r="N64" t="s">
        <v>15</v>
      </c>
    </row>
    <row r="65" spans="1:14" x14ac:dyDescent="0.3">
      <c r="A65">
        <v>16185</v>
      </c>
      <c r="B65" t="s">
        <v>37</v>
      </c>
      <c r="C65" t="s">
        <v>38</v>
      </c>
      <c r="D65" s="3">
        <v>60000</v>
      </c>
      <c r="E65">
        <v>4</v>
      </c>
      <c r="F65" t="s">
        <v>13</v>
      </c>
      <c r="G65" t="s">
        <v>21</v>
      </c>
      <c r="H65" t="s">
        <v>15</v>
      </c>
      <c r="I65">
        <v>3</v>
      </c>
      <c r="J65" t="s">
        <v>47</v>
      </c>
      <c r="K65" t="s">
        <v>24</v>
      </c>
      <c r="L65">
        <v>41</v>
      </c>
      <c r="M65" t="str">
        <f t="shared" si="0"/>
        <v>Middle Aged</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Aged</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 &gt; 54,"Old",IF(L67 &gt;= 31,"Middle Aged",IF(L67 &lt; 31,"Young")))</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Aged</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Aged</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Aged</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Young</v>
      </c>
      <c r="N71" t="s">
        <v>18</v>
      </c>
    </row>
    <row r="72" spans="1:14" x14ac:dyDescent="0.3">
      <c r="A72">
        <v>14238</v>
      </c>
      <c r="B72" t="s">
        <v>36</v>
      </c>
      <c r="C72" t="s">
        <v>38</v>
      </c>
      <c r="D72" s="3">
        <v>120000</v>
      </c>
      <c r="E72">
        <v>0</v>
      </c>
      <c r="F72" t="s">
        <v>29</v>
      </c>
      <c r="G72" t="s">
        <v>21</v>
      </c>
      <c r="H72" t="s">
        <v>15</v>
      </c>
      <c r="I72">
        <v>4</v>
      </c>
      <c r="J72" t="s">
        <v>47</v>
      </c>
      <c r="K72" t="s">
        <v>24</v>
      </c>
      <c r="L72">
        <v>36</v>
      </c>
      <c r="M72" t="str">
        <f t="shared" si="1"/>
        <v>Middle Aged</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Aged</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Aged</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Aged</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Aged</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Young</v>
      </c>
      <c r="N78" t="s">
        <v>18</v>
      </c>
    </row>
    <row r="79" spans="1:14" x14ac:dyDescent="0.3">
      <c r="A79">
        <v>27969</v>
      </c>
      <c r="B79" t="s">
        <v>36</v>
      </c>
      <c r="C79" t="s">
        <v>38</v>
      </c>
      <c r="D79" s="3">
        <v>80000</v>
      </c>
      <c r="E79">
        <v>0</v>
      </c>
      <c r="F79" t="s">
        <v>13</v>
      </c>
      <c r="G79" t="s">
        <v>21</v>
      </c>
      <c r="H79" t="s">
        <v>15</v>
      </c>
      <c r="I79">
        <v>2</v>
      </c>
      <c r="J79" t="s">
        <v>47</v>
      </c>
      <c r="K79" t="s">
        <v>24</v>
      </c>
      <c r="L79">
        <v>29</v>
      </c>
      <c r="M79" t="str">
        <f t="shared" si="1"/>
        <v>Young</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Aged</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Aged</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Aged</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Aged</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Young</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Aged</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Young</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Aged</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Aged</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Young</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Aged</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Young</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Young</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Aged</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Aged</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Aged</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Aged</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Young</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Aged</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Aged</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Aged</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Aged</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Aged</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Aged</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Young</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Aged</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Aged</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Aged</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Aged</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Aged</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Aged</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Aged</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Aged</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Young</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Young</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Aged</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Aged</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Young</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Aged</v>
      </c>
      <c r="N123" t="s">
        <v>18</v>
      </c>
    </row>
    <row r="124" spans="1:14" x14ac:dyDescent="0.3">
      <c r="A124">
        <v>12344</v>
      </c>
      <c r="B124" t="s">
        <v>37</v>
      </c>
      <c r="C124" t="s">
        <v>39</v>
      </c>
      <c r="D124" s="3">
        <v>80000</v>
      </c>
      <c r="E124">
        <v>0</v>
      </c>
      <c r="F124" t="s">
        <v>13</v>
      </c>
      <c r="G124" t="s">
        <v>21</v>
      </c>
      <c r="H124" t="s">
        <v>18</v>
      </c>
      <c r="I124">
        <v>3</v>
      </c>
      <c r="J124" t="s">
        <v>47</v>
      </c>
      <c r="K124" t="s">
        <v>24</v>
      </c>
      <c r="L124">
        <v>31</v>
      </c>
      <c r="M124" t="str">
        <f t="shared" si="1"/>
        <v>Middle Aged</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Aged</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Aged</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Aged</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Aged</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Aged</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 &gt; 54,"Old",IF(L131 &gt;= 31,"Middle Aged",IF(L131 &lt; 31,"Young")))</f>
        <v>Middle Aged</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Aged</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Aged</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Aged</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Aged</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Aged</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Aged</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Aged</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Young</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Aged</v>
      </c>
      <c r="N144" t="s">
        <v>15</v>
      </c>
    </row>
    <row r="145" spans="1:14" x14ac:dyDescent="0.3">
      <c r="A145">
        <v>16614</v>
      </c>
      <c r="B145" t="s">
        <v>36</v>
      </c>
      <c r="C145" t="s">
        <v>39</v>
      </c>
      <c r="D145" s="3">
        <v>80000</v>
      </c>
      <c r="E145">
        <v>0</v>
      </c>
      <c r="F145" t="s">
        <v>13</v>
      </c>
      <c r="G145" t="s">
        <v>21</v>
      </c>
      <c r="H145" t="s">
        <v>15</v>
      </c>
      <c r="I145">
        <v>3</v>
      </c>
      <c r="J145" t="s">
        <v>47</v>
      </c>
      <c r="K145" t="s">
        <v>24</v>
      </c>
      <c r="L145">
        <v>32</v>
      </c>
      <c r="M145" t="str">
        <f t="shared" si="2"/>
        <v>Middle Aged</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Aged</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Aged</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Aged</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Aged</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Young</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Aged</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Aged</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Aged</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Aged</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Aged</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Aged</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Aged</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Aged</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Aged</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Aged</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Aged</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Aged</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Aged</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Young</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Young</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Aged</v>
      </c>
      <c r="N168" t="s">
        <v>15</v>
      </c>
    </row>
    <row r="169" spans="1:14" x14ac:dyDescent="0.3">
      <c r="A169">
        <v>14233</v>
      </c>
      <c r="B169" t="s">
        <v>37</v>
      </c>
      <c r="C169" t="s">
        <v>38</v>
      </c>
      <c r="D169" s="3">
        <v>100000</v>
      </c>
      <c r="E169">
        <v>0</v>
      </c>
      <c r="F169" t="s">
        <v>27</v>
      </c>
      <c r="G169" t="s">
        <v>28</v>
      </c>
      <c r="H169" t="s">
        <v>15</v>
      </c>
      <c r="I169">
        <v>3</v>
      </c>
      <c r="J169" t="s">
        <v>47</v>
      </c>
      <c r="K169" t="s">
        <v>24</v>
      </c>
      <c r="L169">
        <v>35</v>
      </c>
      <c r="M169" t="str">
        <f t="shared" si="2"/>
        <v>Middle Aged</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Aged</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Aged</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Aged</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Young</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Aged</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Aged</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Young</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Aged</v>
      </c>
      <c r="N179" t="s">
        <v>18</v>
      </c>
    </row>
    <row r="180" spans="1:14" x14ac:dyDescent="0.3">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Aged</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Aged</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Aged</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Aged</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47</v>
      </c>
      <c r="K190" t="s">
        <v>24</v>
      </c>
      <c r="L190">
        <v>32</v>
      </c>
      <c r="M190" t="str">
        <f t="shared" si="2"/>
        <v>Middle Aged</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Aged</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Aged</v>
      </c>
      <c r="N193" t="s">
        <v>15</v>
      </c>
    </row>
    <row r="194" spans="1:14" x14ac:dyDescent="0.3">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47</v>
      </c>
      <c r="K195" t="s">
        <v>24</v>
      </c>
      <c r="L195">
        <v>41</v>
      </c>
      <c r="M195" t="str">
        <f t="shared" ref="M195:M258" si="3">IF(L195 &gt; 54,"Old",IF(L195 &gt;= 31,"Middle Aged",IF(L195 &lt; 31,"Young")))</f>
        <v>Middle Aged</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Aged</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Young</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Aged</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Aged</v>
      </c>
      <c r="N200" t="s">
        <v>15</v>
      </c>
    </row>
    <row r="201" spans="1:14" x14ac:dyDescent="0.3">
      <c r="A201">
        <v>11453</v>
      </c>
      <c r="B201" t="s">
        <v>37</v>
      </c>
      <c r="C201" t="s">
        <v>38</v>
      </c>
      <c r="D201" s="3">
        <v>80000</v>
      </c>
      <c r="E201">
        <v>0</v>
      </c>
      <c r="F201" t="s">
        <v>13</v>
      </c>
      <c r="G201" t="s">
        <v>21</v>
      </c>
      <c r="H201" t="s">
        <v>18</v>
      </c>
      <c r="I201">
        <v>3</v>
      </c>
      <c r="J201" t="s">
        <v>47</v>
      </c>
      <c r="K201" t="s">
        <v>24</v>
      </c>
      <c r="L201">
        <v>33</v>
      </c>
      <c r="M201" t="str">
        <f t="shared" si="3"/>
        <v>Middle Aged</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Aged</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Young</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Aged</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Aged</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Aged</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Aged</v>
      </c>
      <c r="N207" t="s">
        <v>15</v>
      </c>
    </row>
    <row r="208" spans="1:14" x14ac:dyDescent="0.3">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Young</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Aged</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Aged</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Aged</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Aged</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Young</v>
      </c>
      <c r="N214" t="s">
        <v>18</v>
      </c>
    </row>
    <row r="215" spans="1:14" x14ac:dyDescent="0.3">
      <c r="A215">
        <v>11451</v>
      </c>
      <c r="B215" t="s">
        <v>37</v>
      </c>
      <c r="C215" t="s">
        <v>38</v>
      </c>
      <c r="D215" s="3">
        <v>70000</v>
      </c>
      <c r="E215">
        <v>0</v>
      </c>
      <c r="F215" t="s">
        <v>13</v>
      </c>
      <c r="G215" t="s">
        <v>21</v>
      </c>
      <c r="H215" t="s">
        <v>18</v>
      </c>
      <c r="I215">
        <v>4</v>
      </c>
      <c r="J215" t="s">
        <v>47</v>
      </c>
      <c r="K215" t="s">
        <v>24</v>
      </c>
      <c r="L215">
        <v>31</v>
      </c>
      <c r="M215" t="str">
        <f t="shared" si="3"/>
        <v>Middle Aged</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Aged</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Aged</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Young</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Aged</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Young</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Aged</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Aged</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Aged</v>
      </c>
      <c r="N224" t="s">
        <v>18</v>
      </c>
    </row>
    <row r="225" spans="1:14" x14ac:dyDescent="0.3">
      <c r="A225">
        <v>18711</v>
      </c>
      <c r="B225" t="s">
        <v>37</v>
      </c>
      <c r="C225" t="s">
        <v>39</v>
      </c>
      <c r="D225" s="3">
        <v>70000</v>
      </c>
      <c r="E225">
        <v>5</v>
      </c>
      <c r="F225" t="s">
        <v>13</v>
      </c>
      <c r="G225" t="s">
        <v>21</v>
      </c>
      <c r="H225" t="s">
        <v>15</v>
      </c>
      <c r="I225">
        <v>4</v>
      </c>
      <c r="J225" t="s">
        <v>47</v>
      </c>
      <c r="K225" t="s">
        <v>24</v>
      </c>
      <c r="L225">
        <v>39</v>
      </c>
      <c r="M225" t="str">
        <f t="shared" si="3"/>
        <v>Middle Aged</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Aged</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Aged</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Aged</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Aged</v>
      </c>
      <c r="N230" t="s">
        <v>18</v>
      </c>
    </row>
    <row r="231" spans="1:14" x14ac:dyDescent="0.3">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Aged</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Aged</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Young</v>
      </c>
      <c r="N235" t="s">
        <v>15</v>
      </c>
    </row>
    <row r="236" spans="1:14" x14ac:dyDescent="0.3">
      <c r="A236">
        <v>24611</v>
      </c>
      <c r="B236" t="s">
        <v>37</v>
      </c>
      <c r="C236" t="s">
        <v>38</v>
      </c>
      <c r="D236" s="3">
        <v>90000</v>
      </c>
      <c r="E236">
        <v>0</v>
      </c>
      <c r="F236" t="s">
        <v>13</v>
      </c>
      <c r="G236" t="s">
        <v>21</v>
      </c>
      <c r="H236" t="s">
        <v>18</v>
      </c>
      <c r="I236">
        <v>4</v>
      </c>
      <c r="J236" t="s">
        <v>47</v>
      </c>
      <c r="K236" t="s">
        <v>24</v>
      </c>
      <c r="L236">
        <v>35</v>
      </c>
      <c r="M236" t="str">
        <f t="shared" si="3"/>
        <v>Middle Aged</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Aged</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Young</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Aged</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Aged</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Aged</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Young</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Aged</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Young</v>
      </c>
      <c r="N245" t="s">
        <v>18</v>
      </c>
    </row>
    <row r="246" spans="1:14" x14ac:dyDescent="0.3">
      <c r="A246">
        <v>19057</v>
      </c>
      <c r="B246" t="s">
        <v>36</v>
      </c>
      <c r="C246" t="s">
        <v>39</v>
      </c>
      <c r="D246" s="3">
        <v>120000</v>
      </c>
      <c r="E246">
        <v>3</v>
      </c>
      <c r="F246" t="s">
        <v>13</v>
      </c>
      <c r="G246" t="s">
        <v>28</v>
      </c>
      <c r="H246" t="s">
        <v>18</v>
      </c>
      <c r="I246">
        <v>2</v>
      </c>
      <c r="J246" t="s">
        <v>47</v>
      </c>
      <c r="K246" t="s">
        <v>17</v>
      </c>
      <c r="L246">
        <v>52</v>
      </c>
      <c r="M246" t="str">
        <f t="shared" si="3"/>
        <v>Middle Aged</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Aged</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Aged</v>
      </c>
      <c r="N248" t="s">
        <v>15</v>
      </c>
    </row>
    <row r="249" spans="1:14" x14ac:dyDescent="0.3">
      <c r="A249">
        <v>21568</v>
      </c>
      <c r="B249" t="s">
        <v>36</v>
      </c>
      <c r="C249" t="s">
        <v>39</v>
      </c>
      <c r="D249" s="3">
        <v>100000</v>
      </c>
      <c r="E249">
        <v>0</v>
      </c>
      <c r="F249" t="s">
        <v>27</v>
      </c>
      <c r="G249" t="s">
        <v>28</v>
      </c>
      <c r="H249" t="s">
        <v>15</v>
      </c>
      <c r="I249">
        <v>4</v>
      </c>
      <c r="J249" t="s">
        <v>47</v>
      </c>
      <c r="K249" t="s">
        <v>24</v>
      </c>
      <c r="L249">
        <v>34</v>
      </c>
      <c r="M249" t="str">
        <f t="shared" si="3"/>
        <v>Middle Aged</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Aged</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Aged</v>
      </c>
      <c r="N254" t="s">
        <v>18</v>
      </c>
    </row>
    <row r="255" spans="1:14" x14ac:dyDescent="0.3">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Aged</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Aged</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 &gt; 54,"Old",IF(L259 &gt;= 31,"Middle Aged",IF(L259 &lt; 31,"Young")))</f>
        <v>Middle Aged</v>
      </c>
      <c r="N259" t="s">
        <v>15</v>
      </c>
    </row>
    <row r="260" spans="1:14" x14ac:dyDescent="0.3">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Aged</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Aged</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Aged</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Aged</v>
      </c>
      <c r="N264" t="s">
        <v>18</v>
      </c>
    </row>
    <row r="265" spans="1:14" x14ac:dyDescent="0.3">
      <c r="A265">
        <v>23419</v>
      </c>
      <c r="B265" t="s">
        <v>37</v>
      </c>
      <c r="C265" t="s">
        <v>39</v>
      </c>
      <c r="D265" s="3">
        <v>70000</v>
      </c>
      <c r="E265">
        <v>5</v>
      </c>
      <c r="F265" t="s">
        <v>13</v>
      </c>
      <c r="G265" t="s">
        <v>21</v>
      </c>
      <c r="H265" t="s">
        <v>15</v>
      </c>
      <c r="I265">
        <v>3</v>
      </c>
      <c r="J265" t="s">
        <v>47</v>
      </c>
      <c r="K265" t="s">
        <v>24</v>
      </c>
      <c r="L265">
        <v>39</v>
      </c>
      <c r="M265" t="str">
        <f t="shared" si="4"/>
        <v>Middle Aged</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Aged</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Aged</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Young</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Aged</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Aged</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Aged</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Aged</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Young</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Aged</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Young</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Aged</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Aged</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Aged</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Aged</v>
      </c>
      <c r="N279" t="s">
        <v>15</v>
      </c>
    </row>
    <row r="280" spans="1:14" x14ac:dyDescent="0.3">
      <c r="A280">
        <v>20625</v>
      </c>
      <c r="B280" t="s">
        <v>36</v>
      </c>
      <c r="C280" t="s">
        <v>38</v>
      </c>
      <c r="D280" s="3">
        <v>100000</v>
      </c>
      <c r="E280">
        <v>0</v>
      </c>
      <c r="F280" t="s">
        <v>27</v>
      </c>
      <c r="G280" t="s">
        <v>28</v>
      </c>
      <c r="H280" t="s">
        <v>15</v>
      </c>
      <c r="I280">
        <v>3</v>
      </c>
      <c r="J280" t="s">
        <v>47</v>
      </c>
      <c r="K280" t="s">
        <v>24</v>
      </c>
      <c r="L280">
        <v>35</v>
      </c>
      <c r="M280" t="str">
        <f t="shared" si="4"/>
        <v>Middle Aged</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Aged</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Aged</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Aged</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Aged</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Aged</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Aged</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Aged</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Aged</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Aged</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Aged</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Aged</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Aged</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Aged</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Aged</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Aged</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Aged</v>
      </c>
      <c r="N296" t="s">
        <v>15</v>
      </c>
    </row>
    <row r="297" spans="1:14" x14ac:dyDescent="0.3">
      <c r="A297">
        <v>21557</v>
      </c>
      <c r="B297" t="s">
        <v>37</v>
      </c>
      <c r="C297" t="s">
        <v>39</v>
      </c>
      <c r="D297" s="3">
        <v>110000</v>
      </c>
      <c r="E297">
        <v>0</v>
      </c>
      <c r="F297" t="s">
        <v>19</v>
      </c>
      <c r="G297" t="s">
        <v>28</v>
      </c>
      <c r="H297" t="s">
        <v>15</v>
      </c>
      <c r="I297">
        <v>3</v>
      </c>
      <c r="J297" t="s">
        <v>47</v>
      </c>
      <c r="K297" t="s">
        <v>24</v>
      </c>
      <c r="L297">
        <v>32</v>
      </c>
      <c r="M297" t="str">
        <f t="shared" si="4"/>
        <v>Middle Aged</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Aged</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Aged</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Aged</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Young</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Aged</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Aged</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Aged</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Aged</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Aged</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Aged</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Aged</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Aged</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Aged</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Aged</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Aged</v>
      </c>
      <c r="N319" t="s">
        <v>15</v>
      </c>
    </row>
    <row r="320" spans="1:14" x14ac:dyDescent="0.3">
      <c r="A320">
        <v>19066</v>
      </c>
      <c r="B320" t="s">
        <v>36</v>
      </c>
      <c r="C320" t="s">
        <v>38</v>
      </c>
      <c r="D320" s="3">
        <v>130000</v>
      </c>
      <c r="E320">
        <v>4</v>
      </c>
      <c r="F320" t="s">
        <v>19</v>
      </c>
      <c r="G320" t="s">
        <v>21</v>
      </c>
      <c r="H320" t="s">
        <v>18</v>
      </c>
      <c r="I320">
        <v>3</v>
      </c>
      <c r="J320" t="s">
        <v>47</v>
      </c>
      <c r="K320" t="s">
        <v>17</v>
      </c>
      <c r="L320">
        <v>54</v>
      </c>
      <c r="M320" t="str">
        <f t="shared" si="4"/>
        <v>Middle Aged</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Aged</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Aged</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 &gt; 54,"Old",IF(L323 &gt;= 31,"Middle Aged",IF(L323 &lt; 31,"Young")))</f>
        <v>Middle Aged</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Aged</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Aged</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Aged</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Aged</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Young</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Aged</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Aged</v>
      </c>
      <c r="N330" t="s">
        <v>18</v>
      </c>
    </row>
    <row r="331" spans="1:14" x14ac:dyDescent="0.3">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47</v>
      </c>
      <c r="K332" t="s">
        <v>24</v>
      </c>
      <c r="L332">
        <v>32</v>
      </c>
      <c r="M332" t="str">
        <f t="shared" si="5"/>
        <v>Middle Aged</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Young</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Aged</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Aged</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Aged</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Aged</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Aged</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Aged</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Aged</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Young</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Aged</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Aged</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Aged</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Aged</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Aged</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Aged</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Aged</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Aged</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Young</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Young</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Aged</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Aged</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Aged</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Aged</v>
      </c>
      <c r="N356" t="s">
        <v>18</v>
      </c>
    </row>
    <row r="357" spans="1:14" x14ac:dyDescent="0.3">
      <c r="A357">
        <v>17238</v>
      </c>
      <c r="B357" t="s">
        <v>37</v>
      </c>
      <c r="C357" t="s">
        <v>38</v>
      </c>
      <c r="D357" s="3">
        <v>80000</v>
      </c>
      <c r="E357">
        <v>0</v>
      </c>
      <c r="F357" t="s">
        <v>13</v>
      </c>
      <c r="G357" t="s">
        <v>21</v>
      </c>
      <c r="H357" t="s">
        <v>15</v>
      </c>
      <c r="I357">
        <v>3</v>
      </c>
      <c r="J357" t="s">
        <v>47</v>
      </c>
      <c r="K357" t="s">
        <v>24</v>
      </c>
      <c r="L357">
        <v>32</v>
      </c>
      <c r="M357" t="str">
        <f t="shared" si="5"/>
        <v>Middle Aged</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Aged</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Aged</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47</v>
      </c>
      <c r="K361" t="s">
        <v>24</v>
      </c>
      <c r="L361">
        <v>30</v>
      </c>
      <c r="M361" t="str">
        <f t="shared" si="5"/>
        <v>Young</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Aged</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Young</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Aged</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Aged</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Aged</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Aged</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Aged</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Aged</v>
      </c>
      <c r="N371" t="s">
        <v>15</v>
      </c>
    </row>
    <row r="372" spans="1:14" x14ac:dyDescent="0.3">
      <c r="A372">
        <v>17324</v>
      </c>
      <c r="B372" t="s">
        <v>36</v>
      </c>
      <c r="C372" t="s">
        <v>39</v>
      </c>
      <c r="D372" s="3">
        <v>100000</v>
      </c>
      <c r="E372">
        <v>4</v>
      </c>
      <c r="F372" t="s">
        <v>13</v>
      </c>
      <c r="G372" t="s">
        <v>21</v>
      </c>
      <c r="H372" t="s">
        <v>15</v>
      </c>
      <c r="I372">
        <v>1</v>
      </c>
      <c r="J372" t="s">
        <v>47</v>
      </c>
      <c r="K372" t="s">
        <v>24</v>
      </c>
      <c r="L372">
        <v>46</v>
      </c>
      <c r="M372" t="str">
        <f t="shared" si="5"/>
        <v>Middle Aged</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Aged</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Aged</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Young</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Aged</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Aged</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Aged</v>
      </c>
      <c r="N381" t="s">
        <v>18</v>
      </c>
    </row>
    <row r="382" spans="1:14" x14ac:dyDescent="0.3">
      <c r="A382">
        <v>13620</v>
      </c>
      <c r="B382" t="s">
        <v>37</v>
      </c>
      <c r="C382" t="s">
        <v>38</v>
      </c>
      <c r="D382" s="3">
        <v>70000</v>
      </c>
      <c r="E382">
        <v>0</v>
      </c>
      <c r="F382" t="s">
        <v>13</v>
      </c>
      <c r="G382" t="s">
        <v>21</v>
      </c>
      <c r="H382" t="s">
        <v>18</v>
      </c>
      <c r="I382">
        <v>3</v>
      </c>
      <c r="J382" t="s">
        <v>47</v>
      </c>
      <c r="K382" t="s">
        <v>24</v>
      </c>
      <c r="L382">
        <v>30</v>
      </c>
      <c r="M382" t="str">
        <f t="shared" si="5"/>
        <v>Young</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47</v>
      </c>
      <c r="K384" t="s">
        <v>17</v>
      </c>
      <c r="L384">
        <v>53</v>
      </c>
      <c r="M384" t="str">
        <f t="shared" si="5"/>
        <v>Middle Aged</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Aged</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Young</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 &gt; 54,"Old",IF(L387 &gt;= 31,"Middle Aged",IF(L387 &lt; 31,"Young")))</f>
        <v>Middle Aged</v>
      </c>
      <c r="N387" t="s">
        <v>18</v>
      </c>
    </row>
    <row r="388" spans="1:14" x14ac:dyDescent="0.3">
      <c r="A388">
        <v>28957</v>
      </c>
      <c r="B388" t="s">
        <v>37</v>
      </c>
      <c r="C388" t="s">
        <v>39</v>
      </c>
      <c r="D388" s="3">
        <v>120000</v>
      </c>
      <c r="E388">
        <v>0</v>
      </c>
      <c r="F388" t="s">
        <v>29</v>
      </c>
      <c r="G388" t="s">
        <v>21</v>
      </c>
      <c r="H388" t="s">
        <v>15</v>
      </c>
      <c r="I388">
        <v>4</v>
      </c>
      <c r="J388" t="s">
        <v>47</v>
      </c>
      <c r="K388" t="s">
        <v>24</v>
      </c>
      <c r="L388">
        <v>34</v>
      </c>
      <c r="M388" t="str">
        <f t="shared" si="6"/>
        <v>Middle Aged</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Aged</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Aged</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Aged</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Aged</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Aged</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Aged</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Aged</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Aged</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Aged</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Aged</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Aged</v>
      </c>
      <c r="N401" t="s">
        <v>15</v>
      </c>
    </row>
    <row r="402" spans="1:14" x14ac:dyDescent="0.3">
      <c r="A402">
        <v>25792</v>
      </c>
      <c r="B402" t="s">
        <v>37</v>
      </c>
      <c r="C402" t="s">
        <v>39</v>
      </c>
      <c r="D402" s="3">
        <v>110000</v>
      </c>
      <c r="E402">
        <v>3</v>
      </c>
      <c r="F402" t="s">
        <v>13</v>
      </c>
      <c r="G402" t="s">
        <v>28</v>
      </c>
      <c r="H402" t="s">
        <v>15</v>
      </c>
      <c r="I402">
        <v>4</v>
      </c>
      <c r="J402" t="s">
        <v>47</v>
      </c>
      <c r="K402" t="s">
        <v>17</v>
      </c>
      <c r="L402">
        <v>53</v>
      </c>
      <c r="M402" t="str">
        <f t="shared" si="6"/>
        <v>Middle Aged</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Aged</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Aged</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Aged</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Aged</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Aged</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Aged</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Aged</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Aged</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Aged</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Aged</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Aged</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Aged</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Aged</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Aged</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Aged</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Aged</v>
      </c>
      <c r="N421" t="s">
        <v>15</v>
      </c>
    </row>
    <row r="422" spans="1:14" x14ac:dyDescent="0.3">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Aged</v>
      </c>
      <c r="N423" t="s">
        <v>18</v>
      </c>
    </row>
    <row r="424" spans="1:14" x14ac:dyDescent="0.3">
      <c r="A424">
        <v>24901</v>
      </c>
      <c r="B424" t="s">
        <v>37</v>
      </c>
      <c r="C424" t="s">
        <v>38</v>
      </c>
      <c r="D424" s="3">
        <v>110000</v>
      </c>
      <c r="E424">
        <v>0</v>
      </c>
      <c r="F424" t="s">
        <v>19</v>
      </c>
      <c r="G424" t="s">
        <v>28</v>
      </c>
      <c r="H424" t="s">
        <v>18</v>
      </c>
      <c r="I424">
        <v>3</v>
      </c>
      <c r="J424" t="s">
        <v>47</v>
      </c>
      <c r="K424" t="s">
        <v>24</v>
      </c>
      <c r="L424">
        <v>32</v>
      </c>
      <c r="M424" t="str">
        <f t="shared" si="6"/>
        <v>Middle Aged</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Aged</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Aged</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Young</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Aged</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Aged</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Aged</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Young</v>
      </c>
      <c r="N433" t="s">
        <v>15</v>
      </c>
    </row>
    <row r="434" spans="1:14" x14ac:dyDescent="0.3">
      <c r="A434">
        <v>21891</v>
      </c>
      <c r="B434" t="s">
        <v>36</v>
      </c>
      <c r="C434" t="s">
        <v>39</v>
      </c>
      <c r="D434" s="3">
        <v>110000</v>
      </c>
      <c r="E434">
        <v>0</v>
      </c>
      <c r="F434" t="s">
        <v>27</v>
      </c>
      <c r="G434" t="s">
        <v>28</v>
      </c>
      <c r="H434" t="s">
        <v>15</v>
      </c>
      <c r="I434">
        <v>3</v>
      </c>
      <c r="J434" t="s">
        <v>47</v>
      </c>
      <c r="K434" t="s">
        <v>24</v>
      </c>
      <c r="L434">
        <v>34</v>
      </c>
      <c r="M434" t="str">
        <f t="shared" si="6"/>
        <v>Middle Aged</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Young</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Aged</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Aged</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Young</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Aged</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Aged</v>
      </c>
      <c r="N441" t="s">
        <v>18</v>
      </c>
    </row>
    <row r="442" spans="1:14" x14ac:dyDescent="0.3">
      <c r="A442">
        <v>21561</v>
      </c>
      <c r="B442" t="s">
        <v>37</v>
      </c>
      <c r="C442" t="s">
        <v>38</v>
      </c>
      <c r="D442" s="3">
        <v>90000</v>
      </c>
      <c r="E442">
        <v>0</v>
      </c>
      <c r="F442" t="s">
        <v>13</v>
      </c>
      <c r="G442" t="s">
        <v>21</v>
      </c>
      <c r="H442" t="s">
        <v>18</v>
      </c>
      <c r="I442">
        <v>3</v>
      </c>
      <c r="J442" t="s">
        <v>47</v>
      </c>
      <c r="K442" t="s">
        <v>24</v>
      </c>
      <c r="L442">
        <v>34</v>
      </c>
      <c r="M442" t="str">
        <f t="shared" si="6"/>
        <v>Middle Aged</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Aged</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Aged</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Aged</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Aged</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Aged</v>
      </c>
      <c r="N447" t="s">
        <v>15</v>
      </c>
    </row>
    <row r="448" spans="1:14" x14ac:dyDescent="0.3">
      <c r="A448">
        <v>14278</v>
      </c>
      <c r="B448" t="s">
        <v>36</v>
      </c>
      <c r="C448" t="s">
        <v>39</v>
      </c>
      <c r="D448" s="3">
        <v>130000</v>
      </c>
      <c r="E448">
        <v>0</v>
      </c>
      <c r="F448" t="s">
        <v>31</v>
      </c>
      <c r="G448" t="s">
        <v>28</v>
      </c>
      <c r="H448" t="s">
        <v>15</v>
      </c>
      <c r="I448">
        <v>1</v>
      </c>
      <c r="J448" t="s">
        <v>47</v>
      </c>
      <c r="K448" t="s">
        <v>24</v>
      </c>
      <c r="L448">
        <v>48</v>
      </c>
      <c r="M448" t="str">
        <f t="shared" si="6"/>
        <v>Middle Aged</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Aged</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Aged</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 &gt; 54,"Old",IF(L451 &gt;= 31,"Middle Aged",IF(L451 &lt; 31,"Young")))</f>
        <v>Middle Aged</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Aged</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Aged</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Aged</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Aged</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Aged</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Aged</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47</v>
      </c>
      <c r="K460" t="s">
        <v>24</v>
      </c>
      <c r="L460">
        <v>32</v>
      </c>
      <c r="M460" t="str">
        <f t="shared" si="7"/>
        <v>Middle Aged</v>
      </c>
      <c r="N460" t="s">
        <v>15</v>
      </c>
    </row>
    <row r="461" spans="1:14" x14ac:dyDescent="0.3">
      <c r="A461">
        <v>21554</v>
      </c>
      <c r="B461" t="s">
        <v>37</v>
      </c>
      <c r="C461" t="s">
        <v>39</v>
      </c>
      <c r="D461" s="3">
        <v>80000</v>
      </c>
      <c r="E461">
        <v>0</v>
      </c>
      <c r="F461" t="s">
        <v>13</v>
      </c>
      <c r="G461" t="s">
        <v>21</v>
      </c>
      <c r="H461" t="s">
        <v>18</v>
      </c>
      <c r="I461">
        <v>3</v>
      </c>
      <c r="J461" t="s">
        <v>47</v>
      </c>
      <c r="K461" t="s">
        <v>24</v>
      </c>
      <c r="L461">
        <v>33</v>
      </c>
      <c r="M461" t="str">
        <f t="shared" si="7"/>
        <v>Middle Aged</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Aged</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Aged</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Aged</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Aged</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Aged</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Aged</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Aged</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Aged</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Young</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Aged</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Aged</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Aged</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Aged</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Aged</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Aged</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Aged</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Aged</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Aged</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Aged</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Aged</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Aged</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Aged</v>
      </c>
      <c r="N487" t="s">
        <v>18</v>
      </c>
    </row>
    <row r="488" spans="1:14" x14ac:dyDescent="0.3">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Aged</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Aged</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Aged</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Aged</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Aged</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Aged</v>
      </c>
      <c r="N494" t="s">
        <v>15</v>
      </c>
    </row>
    <row r="495" spans="1:14" x14ac:dyDescent="0.3">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Aged</v>
      </c>
      <c r="N496" t="s">
        <v>18</v>
      </c>
    </row>
    <row r="497" spans="1:14" x14ac:dyDescent="0.3">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Aged</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Aged</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Aged</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Aged</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Aged</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Aged</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Young</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Aged</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Aged</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Aged</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Aged</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Aged</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Young</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Aged</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Aged</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Aged</v>
      </c>
      <c r="N514" t="s">
        <v>15</v>
      </c>
    </row>
    <row r="515" spans="1:14" x14ac:dyDescent="0.3">
      <c r="A515">
        <v>13353</v>
      </c>
      <c r="B515" t="s">
        <v>37</v>
      </c>
      <c r="C515" t="s">
        <v>39</v>
      </c>
      <c r="D515" s="3">
        <v>60000</v>
      </c>
      <c r="E515">
        <v>4</v>
      </c>
      <c r="F515" t="s">
        <v>31</v>
      </c>
      <c r="G515" t="s">
        <v>28</v>
      </c>
      <c r="H515" t="s">
        <v>15</v>
      </c>
      <c r="I515">
        <v>2</v>
      </c>
      <c r="J515" t="s">
        <v>47</v>
      </c>
      <c r="K515" t="s">
        <v>32</v>
      </c>
      <c r="L515">
        <v>61</v>
      </c>
      <c r="M515" t="str">
        <f t="shared" ref="M515:M578" si="8">IF(L515 &gt; 54,"Old",IF(L515 &gt;= 31,"Middle Aged",IF(L515 &lt; 31,"Young")))</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Aged</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Aged</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Aged</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Aged</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Aged</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Aged</v>
      </c>
      <c r="N522" t="s">
        <v>18</v>
      </c>
    </row>
    <row r="523" spans="1:14" x14ac:dyDescent="0.3">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Aged</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Aged</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Aged</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Aged</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Young</v>
      </c>
      <c r="N530" t="s">
        <v>18</v>
      </c>
    </row>
    <row r="531" spans="1:14" x14ac:dyDescent="0.3">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Young</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Young</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Aged</v>
      </c>
      <c r="N534" t="s">
        <v>15</v>
      </c>
    </row>
    <row r="535" spans="1:14" x14ac:dyDescent="0.3">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47</v>
      </c>
      <c r="K537" t="s">
        <v>32</v>
      </c>
      <c r="L537">
        <v>41</v>
      </c>
      <c r="M537" t="str">
        <f t="shared" si="8"/>
        <v>Middle Aged</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Aged</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Aged</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Aged</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Aged</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Aged</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Aged</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Young</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Aged</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Aged</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Young</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Aged</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Aged</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Aged</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Aged</v>
      </c>
      <c r="N552" t="s">
        <v>15</v>
      </c>
    </row>
    <row r="553" spans="1:14" x14ac:dyDescent="0.3">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47</v>
      </c>
      <c r="K554" t="s">
        <v>32</v>
      </c>
      <c r="L554">
        <v>54</v>
      </c>
      <c r="M554" t="str">
        <f t="shared" si="8"/>
        <v>Middle Aged</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Aged</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Aged</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Aged</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Aged</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Aged</v>
      </c>
      <c r="N560" t="s">
        <v>18</v>
      </c>
    </row>
    <row r="561" spans="1:14" x14ac:dyDescent="0.3">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Aged</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Aged</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Aged</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Young</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Young</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Aged</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Aged</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Aged</v>
      </c>
      <c r="N570" t="s">
        <v>15</v>
      </c>
    </row>
    <row r="571" spans="1:14" x14ac:dyDescent="0.3">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Aged</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Young</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Aged</v>
      </c>
      <c r="N576" t="s">
        <v>15</v>
      </c>
    </row>
    <row r="577" spans="1:14" x14ac:dyDescent="0.3">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Aged</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 &gt; 54,"Old",IF(L579 &gt;= 31,"Middle Aged",IF(L579 &lt; 31,"Young")))</f>
        <v>Middle Aged</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Aged</v>
      </c>
      <c r="N581" t="s">
        <v>18</v>
      </c>
    </row>
    <row r="582" spans="1:14" x14ac:dyDescent="0.3">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Young</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Aged</v>
      </c>
      <c r="N584" t="s">
        <v>18</v>
      </c>
    </row>
    <row r="585" spans="1:14" x14ac:dyDescent="0.3">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Aged</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Aged</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Aged</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Aged</v>
      </c>
      <c r="N589" t="s">
        <v>18</v>
      </c>
    </row>
    <row r="590" spans="1:14" x14ac:dyDescent="0.3">
      <c r="A590">
        <v>16871</v>
      </c>
      <c r="B590" t="s">
        <v>36</v>
      </c>
      <c r="C590" t="s">
        <v>39</v>
      </c>
      <c r="D590" s="3">
        <v>90000</v>
      </c>
      <c r="E590">
        <v>2</v>
      </c>
      <c r="F590" t="s">
        <v>27</v>
      </c>
      <c r="G590" t="s">
        <v>21</v>
      </c>
      <c r="H590" t="s">
        <v>15</v>
      </c>
      <c r="I590">
        <v>1</v>
      </c>
      <c r="J590" t="s">
        <v>47</v>
      </c>
      <c r="K590" t="s">
        <v>32</v>
      </c>
      <c r="L590">
        <v>51</v>
      </c>
      <c r="M590" t="str">
        <f t="shared" si="9"/>
        <v>Middle Aged</v>
      </c>
      <c r="N590" t="s">
        <v>15</v>
      </c>
    </row>
    <row r="591" spans="1:14" x14ac:dyDescent="0.3">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Aged</v>
      </c>
      <c r="N592" t="s">
        <v>15</v>
      </c>
    </row>
    <row r="593" spans="1:14" x14ac:dyDescent="0.3">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Aged</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Aged</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Aged</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Aged</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Aged</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Aged</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Aged</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Aged</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Young</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Aged</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Aged</v>
      </c>
      <c r="N608" t="s">
        <v>18</v>
      </c>
    </row>
    <row r="609" spans="1:14" x14ac:dyDescent="0.3">
      <c r="A609">
        <v>16145</v>
      </c>
      <c r="B609" t="s">
        <v>37</v>
      </c>
      <c r="C609" t="s">
        <v>39</v>
      </c>
      <c r="D609" s="3">
        <v>70000</v>
      </c>
      <c r="E609">
        <v>5</v>
      </c>
      <c r="F609" t="s">
        <v>31</v>
      </c>
      <c r="G609" t="s">
        <v>21</v>
      </c>
      <c r="H609" t="s">
        <v>15</v>
      </c>
      <c r="I609">
        <v>3</v>
      </c>
      <c r="J609" t="s">
        <v>47</v>
      </c>
      <c r="K609" t="s">
        <v>32</v>
      </c>
      <c r="L609">
        <v>46</v>
      </c>
      <c r="M609" t="str">
        <f t="shared" si="9"/>
        <v>Middle Aged</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Aged</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Aged</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Aged</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Aged</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Young</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Aged</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Aged</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Aged</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Aged</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Aged</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Aged</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Young</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Aged</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Aged</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Young</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Young</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Aged</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Aged</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Young</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Aged</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Aged</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Aged</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Aged</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Aged</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Young</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47</v>
      </c>
      <c r="K643" t="s">
        <v>32</v>
      </c>
      <c r="L643">
        <v>64</v>
      </c>
      <c r="M643" t="str">
        <f t="shared" ref="M643:M706" si="10">IF(L643 &gt; 54,"Old",IF(L643 &gt;= 31,"Middle Aged",IF(L643 &lt; 31,"Young")))</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Aged</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Aged</v>
      </c>
      <c r="N645" t="s">
        <v>15</v>
      </c>
    </row>
    <row r="646" spans="1:14" x14ac:dyDescent="0.3">
      <c r="A646">
        <v>23368</v>
      </c>
      <c r="B646" t="s">
        <v>36</v>
      </c>
      <c r="C646" t="s">
        <v>39</v>
      </c>
      <c r="D646" s="3">
        <v>60000</v>
      </c>
      <c r="E646">
        <v>5</v>
      </c>
      <c r="F646" t="s">
        <v>13</v>
      </c>
      <c r="G646" t="s">
        <v>14</v>
      </c>
      <c r="H646" t="s">
        <v>15</v>
      </c>
      <c r="I646">
        <v>3</v>
      </c>
      <c r="J646" t="s">
        <v>47</v>
      </c>
      <c r="K646" t="s">
        <v>32</v>
      </c>
      <c r="L646">
        <v>41</v>
      </c>
      <c r="M646" t="str">
        <f t="shared" si="10"/>
        <v>Middle Aged</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Aged</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Aged</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Aged</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Aged</v>
      </c>
      <c r="N651" t="s">
        <v>15</v>
      </c>
    </row>
    <row r="652" spans="1:14" x14ac:dyDescent="0.3">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Aged</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Aged</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Aged</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Aged</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Aged</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Aged</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Aged</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Aged</v>
      </c>
      <c r="N660" t="s">
        <v>15</v>
      </c>
    </row>
    <row r="661" spans="1:14" x14ac:dyDescent="0.3">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Aged</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Young</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Aged</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Aged</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Aged</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Aged</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Aged</v>
      </c>
      <c r="N668" t="s">
        <v>15</v>
      </c>
    </row>
    <row r="669" spans="1:14" x14ac:dyDescent="0.3">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Aged</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Aged</v>
      </c>
      <c r="N671" t="s">
        <v>18</v>
      </c>
    </row>
    <row r="672" spans="1:14" x14ac:dyDescent="0.3">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Aged</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Young</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Aged</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Aged</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Aged</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Aged</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Aged</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Aged</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Aged</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Aged</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Aged</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Aged</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Aged</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Aged</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Young</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Young</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Young</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Aged</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Aged</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Aged</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Aged</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Aged</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Aged</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Young</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Young</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Aged</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Aged</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Young</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Aged</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Aged</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Aged</v>
      </c>
      <c r="N706" t="s">
        <v>15</v>
      </c>
    </row>
    <row r="707" spans="1:14" x14ac:dyDescent="0.3">
      <c r="A707">
        <v>11199</v>
      </c>
      <c r="B707" t="s">
        <v>36</v>
      </c>
      <c r="C707" t="s">
        <v>39</v>
      </c>
      <c r="D707" s="3">
        <v>70000</v>
      </c>
      <c r="E707">
        <v>4</v>
      </c>
      <c r="F707" t="s">
        <v>13</v>
      </c>
      <c r="G707" t="s">
        <v>28</v>
      </c>
      <c r="H707" t="s">
        <v>15</v>
      </c>
      <c r="I707">
        <v>1</v>
      </c>
      <c r="J707" t="s">
        <v>47</v>
      </c>
      <c r="K707" t="s">
        <v>32</v>
      </c>
      <c r="L707">
        <v>59</v>
      </c>
      <c r="M707" t="str">
        <f t="shared" ref="M707:M770" si="11">IF(L707 &gt; 54,"Old",IF(L707 &gt;= 31,"Middle Aged",IF(L707 &lt; 31,"Young")))</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Aged</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Aged</v>
      </c>
      <c r="N709" t="s">
        <v>15</v>
      </c>
    </row>
    <row r="710" spans="1:14" x14ac:dyDescent="0.3">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Aged</v>
      </c>
      <c r="N712" t="s">
        <v>15</v>
      </c>
    </row>
    <row r="713" spans="1:14" x14ac:dyDescent="0.3">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Aged</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Young</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Aged</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Aged</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Aged</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Aged</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Aged</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Aged</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Aged</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Aged</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Aged</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Aged</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Aged</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Aged</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Young</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Aged</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Aged</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Aged</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Aged</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Aged</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Aged</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Young</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Aged</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Aged</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Aged</v>
      </c>
      <c r="N740" t="s">
        <v>15</v>
      </c>
    </row>
    <row r="741" spans="1:14" x14ac:dyDescent="0.3">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Young</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Aged</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Young</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Aged</v>
      </c>
      <c r="N745" t="s">
        <v>18</v>
      </c>
    </row>
    <row r="746" spans="1:14" x14ac:dyDescent="0.3">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Aged</v>
      </c>
      <c r="N747" t="s">
        <v>15</v>
      </c>
    </row>
    <row r="748" spans="1:14" x14ac:dyDescent="0.3">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Aged</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Aged</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Aged</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Aged</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Young</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Aged</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Aged</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Aged</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Aged</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Aged</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Aged</v>
      </c>
      <c r="N762" t="s">
        <v>18</v>
      </c>
    </row>
    <row r="763" spans="1:14" x14ac:dyDescent="0.3">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Aged</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Aged</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Young</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Aged</v>
      </c>
      <c r="N767" t="s">
        <v>15</v>
      </c>
    </row>
    <row r="768" spans="1:14" x14ac:dyDescent="0.3">
      <c r="A768">
        <v>14608</v>
      </c>
      <c r="B768" t="s">
        <v>36</v>
      </c>
      <c r="C768" t="s">
        <v>38</v>
      </c>
      <c r="D768" s="3">
        <v>50000</v>
      </c>
      <c r="E768">
        <v>4</v>
      </c>
      <c r="F768" t="s">
        <v>13</v>
      </c>
      <c r="G768" t="s">
        <v>14</v>
      </c>
      <c r="H768" t="s">
        <v>15</v>
      </c>
      <c r="I768">
        <v>3</v>
      </c>
      <c r="J768" t="s">
        <v>47</v>
      </c>
      <c r="K768" t="s">
        <v>32</v>
      </c>
      <c r="L768">
        <v>42</v>
      </c>
      <c r="M768" t="str">
        <f t="shared" si="11"/>
        <v>Middle Aged</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Aged</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 &gt; 54,"Old",IF(L771 &gt;= 31,"Middle Aged",IF(L771 &lt; 31,"Young")))</f>
        <v>Middle Aged</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Aged</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Aged</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Aged</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Aged</v>
      </c>
      <c r="N776" t="s">
        <v>15</v>
      </c>
    </row>
    <row r="777" spans="1:14" x14ac:dyDescent="0.3">
      <c r="A777">
        <v>29030</v>
      </c>
      <c r="B777" t="s">
        <v>36</v>
      </c>
      <c r="C777" t="s">
        <v>38</v>
      </c>
      <c r="D777" s="3">
        <v>70000</v>
      </c>
      <c r="E777">
        <v>2</v>
      </c>
      <c r="F777" t="s">
        <v>29</v>
      </c>
      <c r="G777" t="s">
        <v>14</v>
      </c>
      <c r="H777" t="s">
        <v>15</v>
      </c>
      <c r="I777">
        <v>2</v>
      </c>
      <c r="J777" t="s">
        <v>47</v>
      </c>
      <c r="K777" t="s">
        <v>32</v>
      </c>
      <c r="L777">
        <v>54</v>
      </c>
      <c r="M777" t="str">
        <f t="shared" si="12"/>
        <v>Middle Aged</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Young</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Aged</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Aged</v>
      </c>
      <c r="N781" t="s">
        <v>15</v>
      </c>
    </row>
    <row r="782" spans="1:14" x14ac:dyDescent="0.3">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Aged</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Aged</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Aged</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Aged</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Young</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Aged</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Aged</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Aged</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Aged</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Young</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Aged</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Aged</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Aged</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Young</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Young</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Aged</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Aged</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Young</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Young</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Young</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Aged</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Aged</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Aged</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Aged</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Aged</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Aged</v>
      </c>
      <c r="N813" t="s">
        <v>18</v>
      </c>
    </row>
    <row r="814" spans="1:14" x14ac:dyDescent="0.3">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47</v>
      </c>
      <c r="K815" t="s">
        <v>32</v>
      </c>
      <c r="L815">
        <v>53</v>
      </c>
      <c r="M815" t="str">
        <f t="shared" si="12"/>
        <v>Middle Aged</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Young</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Aged</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Aged</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Young</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Young</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Aged</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Aged</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Aged</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Aged</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Aged</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Aged</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Aged</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Aged</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Young</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Aged</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Aged</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Aged</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 &gt; 54,"Old",IF(L835 &gt;= 31,"Middle Aged",IF(L835 &lt; 31,"Young")))</f>
        <v>Middle Aged</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Aged</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Aged</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Young</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Aged</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Aged</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Aged</v>
      </c>
      <c r="N841" t="s">
        <v>15</v>
      </c>
    </row>
    <row r="842" spans="1:14" x14ac:dyDescent="0.3">
      <c r="A842">
        <v>11233</v>
      </c>
      <c r="B842" t="s">
        <v>36</v>
      </c>
      <c r="C842" t="s">
        <v>38</v>
      </c>
      <c r="D842" s="3">
        <v>70000</v>
      </c>
      <c r="E842">
        <v>4</v>
      </c>
      <c r="F842" t="s">
        <v>19</v>
      </c>
      <c r="G842" t="s">
        <v>21</v>
      </c>
      <c r="H842" t="s">
        <v>15</v>
      </c>
      <c r="I842">
        <v>2</v>
      </c>
      <c r="J842" t="s">
        <v>47</v>
      </c>
      <c r="K842" t="s">
        <v>32</v>
      </c>
      <c r="L842">
        <v>53</v>
      </c>
      <c r="M842" t="str">
        <f t="shared" si="13"/>
        <v>Middle Aged</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Aged</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Aged</v>
      </c>
      <c r="N845" t="s">
        <v>18</v>
      </c>
    </row>
    <row r="846" spans="1:14" x14ac:dyDescent="0.3">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Aged</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Young</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Aged</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Aged</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Aged</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Aged</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Aged</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Aged</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Young</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Aged</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Aged</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Aged</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Aged</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Aged</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Aged</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Aged</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Aged</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Aged</v>
      </c>
      <c r="N867" t="s">
        <v>15</v>
      </c>
    </row>
    <row r="868" spans="1:14" x14ac:dyDescent="0.3">
      <c r="A868">
        <v>28052</v>
      </c>
      <c r="B868" t="s">
        <v>36</v>
      </c>
      <c r="C868" t="s">
        <v>38</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Aged</v>
      </c>
      <c r="N869" t="s">
        <v>18</v>
      </c>
    </row>
    <row r="870" spans="1:14" x14ac:dyDescent="0.3">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Aged</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Aged</v>
      </c>
      <c r="N872" t="s">
        <v>18</v>
      </c>
    </row>
    <row r="873" spans="1:14" x14ac:dyDescent="0.3">
      <c r="A873">
        <v>11219</v>
      </c>
      <c r="B873" t="s">
        <v>36</v>
      </c>
      <c r="C873" t="s">
        <v>38</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Aged</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Aged</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Aged</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Aged</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Young</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Aged</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Aged</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Aged</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Aged</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Aged</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Aged</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Aged</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Aged</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Aged</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Aged</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Aged</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Aged</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Aged</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Aged</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 &gt; 54,"Old",IF(L899 &gt;= 31,"Middle Aged",IF(L899 &lt; 31,"Young")))</f>
        <v>Young</v>
      </c>
      <c r="N899" t="s">
        <v>18</v>
      </c>
    </row>
    <row r="900" spans="1:14" x14ac:dyDescent="0.3">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47</v>
      </c>
      <c r="K901" t="s">
        <v>32</v>
      </c>
      <c r="L901">
        <v>46</v>
      </c>
      <c r="M901" t="str">
        <f t="shared" si="14"/>
        <v>Middle Aged</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Aged</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Aged</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Aged</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Aged</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Aged</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Aged</v>
      </c>
      <c r="N908" t="s">
        <v>15</v>
      </c>
    </row>
    <row r="909" spans="1:14" x14ac:dyDescent="0.3">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Aged</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Aged</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Aged</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Aged</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Aged</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Aged</v>
      </c>
      <c r="N916" t="s">
        <v>18</v>
      </c>
    </row>
    <row r="917" spans="1:14" x14ac:dyDescent="0.3">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Aged</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Aged</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Aged</v>
      </c>
      <c r="N920" t="s">
        <v>15</v>
      </c>
    </row>
    <row r="921" spans="1:14" x14ac:dyDescent="0.3">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Aged</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Aged</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Aged</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Aged</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Aged</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Aged</v>
      </c>
      <c r="N927" t="s">
        <v>15</v>
      </c>
    </row>
    <row r="928" spans="1:14" x14ac:dyDescent="0.3">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Aged</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Aged</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Aged</v>
      </c>
      <c r="N931" t="s">
        <v>18</v>
      </c>
    </row>
    <row r="932" spans="1:14" x14ac:dyDescent="0.3">
      <c r="A932">
        <v>19543</v>
      </c>
      <c r="B932" t="s">
        <v>36</v>
      </c>
      <c r="C932" t="s">
        <v>38</v>
      </c>
      <c r="D932" s="3">
        <v>70000</v>
      </c>
      <c r="E932">
        <v>5</v>
      </c>
      <c r="F932" t="s">
        <v>31</v>
      </c>
      <c r="G932" t="s">
        <v>21</v>
      </c>
      <c r="H932" t="s">
        <v>18</v>
      </c>
      <c r="I932">
        <v>3</v>
      </c>
      <c r="J932" t="s">
        <v>47</v>
      </c>
      <c r="K932" t="s">
        <v>32</v>
      </c>
      <c r="L932">
        <v>47</v>
      </c>
      <c r="M932" t="str">
        <f t="shared" si="14"/>
        <v>Middle Aged</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Aged</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Young</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Young</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Aged</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Aged</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Young</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Aged</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Aged</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Aged</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Aged</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Aged</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Aged</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Aged</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Aged</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Aged</v>
      </c>
      <c r="N950" t="s">
        <v>18</v>
      </c>
    </row>
    <row r="951" spans="1:14" x14ac:dyDescent="0.3">
      <c r="A951">
        <v>28056</v>
      </c>
      <c r="B951" t="s">
        <v>36</v>
      </c>
      <c r="C951" t="s">
        <v>38</v>
      </c>
      <c r="D951" s="3">
        <v>70000</v>
      </c>
      <c r="E951">
        <v>2</v>
      </c>
      <c r="F951" t="s">
        <v>29</v>
      </c>
      <c r="G951" t="s">
        <v>14</v>
      </c>
      <c r="H951" t="s">
        <v>15</v>
      </c>
      <c r="I951">
        <v>2</v>
      </c>
      <c r="J951" t="s">
        <v>47</v>
      </c>
      <c r="K951" t="s">
        <v>32</v>
      </c>
      <c r="L951">
        <v>53</v>
      </c>
      <c r="M951" t="str">
        <f t="shared" si="14"/>
        <v>Middle Aged</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Aged</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Aged</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Young</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Aged</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Aged</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Aged</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Young</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Aged</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Aged</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Aged</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 &gt; 54,"Old",IF(L963 &gt;= 31,"Middle Aged",IF(L963 &lt; 31,"Young")))</f>
        <v>Old</v>
      </c>
      <c r="N963" t="s">
        <v>18</v>
      </c>
    </row>
    <row r="964" spans="1:14" x14ac:dyDescent="0.3">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Aged</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Aged</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Young</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Aged</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Aged</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Aged</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Aged</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Aged</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Aged</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Aged</v>
      </c>
      <c r="N977" t="s">
        <v>15</v>
      </c>
    </row>
    <row r="978" spans="1:14" x14ac:dyDescent="0.3">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Aged</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Aged</v>
      </c>
      <c r="N981" t="s">
        <v>18</v>
      </c>
    </row>
    <row r="982" spans="1:14" x14ac:dyDescent="0.3">
      <c r="A982">
        <v>18594</v>
      </c>
      <c r="B982" t="s">
        <v>37</v>
      </c>
      <c r="C982" t="s">
        <v>39</v>
      </c>
      <c r="D982" s="3">
        <v>80000</v>
      </c>
      <c r="E982">
        <v>3</v>
      </c>
      <c r="F982" t="s">
        <v>13</v>
      </c>
      <c r="G982" t="s">
        <v>14</v>
      </c>
      <c r="H982" t="s">
        <v>15</v>
      </c>
      <c r="I982">
        <v>3</v>
      </c>
      <c r="J982" t="s">
        <v>47</v>
      </c>
      <c r="K982" t="s">
        <v>32</v>
      </c>
      <c r="L982">
        <v>40</v>
      </c>
      <c r="M982" t="str">
        <f t="shared" si="15"/>
        <v>Middle Aged</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Aged</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Aged</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Aged</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Aged</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Aged</v>
      </c>
      <c r="N987" t="s">
        <v>18</v>
      </c>
    </row>
    <row r="988" spans="1:14" x14ac:dyDescent="0.3">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47</v>
      </c>
      <c r="K991" t="s">
        <v>32</v>
      </c>
      <c r="L991">
        <v>42</v>
      </c>
      <c r="M991" t="str">
        <f t="shared" si="15"/>
        <v>Middle Aged</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Young</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Aged</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Aged</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Aged</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Aged</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Aged</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Aged</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Aged</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Aged</v>
      </c>
      <c r="N1000" t="s">
        <v>18</v>
      </c>
    </row>
    <row r="1001" spans="1:14" x14ac:dyDescent="0.3">
      <c r="A1001">
        <v>12121</v>
      </c>
      <c r="B1001" t="s">
        <v>37</v>
      </c>
      <c r="C1001" t="s">
        <v>38</v>
      </c>
      <c r="D1001" s="3">
        <v>60000</v>
      </c>
      <c r="E1001">
        <v>3</v>
      </c>
      <c r="F1001" t="s">
        <v>27</v>
      </c>
      <c r="G1001" t="s">
        <v>21</v>
      </c>
      <c r="H1001" t="s">
        <v>15</v>
      </c>
      <c r="I1001">
        <v>2</v>
      </c>
      <c r="J1001" t="s">
        <v>47</v>
      </c>
      <c r="K1001" t="s">
        <v>32</v>
      </c>
      <c r="L1001">
        <v>53</v>
      </c>
      <c r="M1001" t="str">
        <f t="shared" si="15"/>
        <v>Middle Aged</v>
      </c>
      <c r="N1001" t="s">
        <v>15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Aks Kuldeep Singh</cp:lastModifiedBy>
  <dcterms:created xsi:type="dcterms:W3CDTF">2022-03-18T02:50:57Z</dcterms:created>
  <dcterms:modified xsi:type="dcterms:W3CDTF">2026-03-03T09:29:39Z</dcterms:modified>
</cp:coreProperties>
</file>